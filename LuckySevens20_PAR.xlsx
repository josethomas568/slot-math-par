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Paylines" sheetId="3" state="visible" r:id="rId5"/>
    <sheet name="Strips" sheetId="4" state="visible" r:id="rId6"/>
    <sheet name="PAR_96" sheetId="5" state="visible" r:id="rId7"/>
    <sheet name="PAR_94" sheetId="6" state="visible" r:id="rId8"/>
    <sheet name="PAR_92" sheetId="7" state="visible" r:id="rId9"/>
    <sheet name="Compliance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9" authorId="0">
      <text>
        <r>
          <rPr>
            <sz val="10"/>
            <rFont val="Arial"/>
            <family val="2"/>
          </rPr>
          <t xml:space="preserve">Exact expected RTP removed by the 5,000x round cap: dynamic program over the free-spin chain with exact convolution of per-spin win distributions (exact.py).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9" authorId="0">
      <text>
        <r>
          <rPr>
            <sz val="10"/>
            <rFont val="Arial"/>
            <family val="2"/>
          </rPr>
          <t xml:space="preserve">Exact expected RTP removed by the 5,000x round cap: dynamic program over the free-spin chain with exact convolution of per-spin win distributions (exact.py).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9" authorId="0">
      <text>
        <r>
          <rPr>
            <sz val="10"/>
            <rFont val="Arial"/>
            <family val="2"/>
          </rPr>
          <t xml:space="preserve">Exact expected RTP removed by the 5,000x round cap: dynamic program over the free-spin chain with exact convolution of per-spin win distributions (exact.py).</t>
        </r>
      </text>
    </comment>
  </commentList>
</comments>
</file>

<file path=xl/sharedStrings.xml><?xml version="1.0" encoding="utf-8"?>
<sst xmlns="http://schemas.openxmlformats.org/spreadsheetml/2006/main" count="1726" uniqueCount="294">
  <si>
    <t xml:space="preserve">Lucky Sevens 20 — PAR summary (5x3, 20 lines, wild reels 2-4, STAR free spins x3)</t>
  </si>
  <si>
    <t xml:space="preserve">Variants differ only in base-game reel strips; pay table, features and free-spin strips are identical.</t>
  </si>
  <si>
    <t xml:space="preserve">Metric</t>
  </si>
  <si>
    <t xml:space="preserve">96% variant</t>
  </si>
  <si>
    <t xml:space="preserve">94% variant</t>
  </si>
  <si>
    <t xml:space="preserve">92% variant</t>
  </si>
  <si>
    <t xml:space="preserve">Final theoretical RTP (Excel, live)</t>
  </si>
  <si>
    <t xml:space="preserve">Python exact RTP (full cycle + DP)</t>
  </si>
  <si>
    <t xml:space="preserve">Excel – Python (uncapped theoretical)</t>
  </si>
  <si>
    <t xml:space="preserve">Base game RTP</t>
  </si>
  <si>
    <t xml:space="preserve">Free-spin feature RTP</t>
  </si>
  <si>
    <t xml:space="preserve">Trigger frequency (1 in)</t>
  </si>
  <si>
    <t xml:space="preserve">Hit frequency</t>
  </si>
  <si>
    <t xml:space="preserve">Volatility index (90%)</t>
  </si>
  <si>
    <t xml:space="preserve">Simulated rounds</t>
  </si>
  <si>
    <t xml:space="preserve">Simulated RTP</t>
  </si>
  <si>
    <t xml:space="preserve">Simulated RTP 95% CI low</t>
  </si>
  <si>
    <t xml:space="preserve">Simulated RTP 95% CI high</t>
  </si>
  <si>
    <t xml:space="preserve">Base strip lengths</t>
  </si>
  <si>
    <t xml:space="preserve">40 / 42 / 42 / 42 / 40</t>
  </si>
  <si>
    <t xml:space="preserve">40 / 42 / 42 / 41 / 40</t>
  </si>
  <si>
    <t xml:space="preserve">40 / 42 / 41 / 42 / 40</t>
  </si>
  <si>
    <t xml:space="preserve">Base cycle size</t>
  </si>
  <si>
    <t xml:space="preserve">Colour key: black = formula, blue = input, green = cross-tab link, purple italic = imported from Python.</t>
  </si>
  <si>
    <t xml:space="preserve">Lucky Sevens 20 — game rules and pay table</t>
  </si>
  <si>
    <t xml:space="preserve">Blue = editable input. All PAR math on the PAR_xx tabs references these cells and the Strips tab.</t>
  </si>
  <si>
    <t xml:space="preserve">Parameter</t>
  </si>
  <si>
    <t xml:space="preserve">Value</t>
  </si>
  <si>
    <t xml:space="preserve">Rules</t>
  </si>
  <si>
    <t xml:space="preserve">Reels</t>
  </si>
  <si>
    <t xml:space="preserve">WILD substitutes for all symbols except STAR; appears on reels 2-4 only; no pay of its own.</t>
  </si>
  <si>
    <t xml:space="preserve">Rows</t>
  </si>
  <si>
    <t xml:space="preserve">Line wins pay left to right on adjacent reels, highest win per line only; line pays x line bet.</t>
  </si>
  <si>
    <t xml:space="preserve">Paylines (fixed)</t>
  </si>
  <si>
    <t xml:space="preserve">STAR pays anywhere (x total bet); at most one STAR visible per reel (strip spacing &gt;= 3).</t>
  </si>
  <si>
    <t xml:space="preserve">Total bet (credits = line bets)</t>
  </si>
  <si>
    <t xml:space="preserve">3+ STAR in base game awards 10 free spins on the free-spin reel set; all free-spin wins x3.</t>
  </si>
  <si>
    <t xml:space="preserve">Free spins awarded per 3+ STAR</t>
  </si>
  <si>
    <t xml:space="preserve">3+ STAR during free spins retriggers +10 spins, up to 50 spins per feature.</t>
  </si>
  <si>
    <t xml:space="preserve">Free-spin win multiplier</t>
  </si>
  <si>
    <t xml:space="preserve">Round win (base spin + its feature) capped at 5,000x total bet; feature ends when cap is reached.</t>
  </si>
  <si>
    <t xml:space="preserve">Max free spins per feature</t>
  </si>
  <si>
    <t xml:space="preserve">Max win per round (x total bet)</t>
  </si>
  <si>
    <t xml:space="preserve">Line pay table (x line bet)</t>
  </si>
  <si>
    <t xml:space="preserve">Symbol</t>
  </si>
  <si>
    <t xml:space="preserve">2 OAK</t>
  </si>
  <si>
    <t xml:space="preserve">3 OAK</t>
  </si>
  <si>
    <t xml:space="preserve">4 OAK</t>
  </si>
  <si>
    <t xml:space="preserve">5 OAK</t>
  </si>
  <si>
    <t xml:space="preserve">SEVEN</t>
  </si>
  <si>
    <t xml:space="preserve">BAR</t>
  </si>
  <si>
    <t xml:space="preserve">BELL</t>
  </si>
  <si>
    <t xml:space="preserve">MELON</t>
  </si>
  <si>
    <t xml:space="preserve">PLUM</t>
  </si>
  <si>
    <t xml:space="preserve">A</t>
  </si>
  <si>
    <t xml:space="preserve">K</t>
  </si>
  <si>
    <t xml:space="preserve">Q</t>
  </si>
  <si>
    <t xml:space="preserve">J</t>
  </si>
  <si>
    <t xml:space="preserve">10</t>
  </si>
  <si>
    <t xml:space="preserve">STAR scatter pays (x total bet)</t>
  </si>
  <si>
    <t xml:space="preserve">STARs visible</t>
  </si>
  <si>
    <t xml:space="preserve">Pay x bet</t>
  </si>
  <si>
    <t xml:space="preserve">Payline definitions (row index per reel: 0 = top, 1 = middle, 2 = bottom)</t>
  </si>
  <si>
    <t xml:space="preserve">Line</t>
  </si>
  <si>
    <t xml:space="preserve">Reel 1</t>
  </si>
  <si>
    <t xml:space="preserve">Reel 2</t>
  </si>
  <si>
    <t xml:space="preserve">Reel 3</t>
  </si>
  <si>
    <t xml:space="preserve">Reel 4</t>
  </si>
  <si>
    <t xml:space="preserve">Reel 5</t>
  </si>
  <si>
    <t xml:space="preserve">Each payline reads exactly one cell per reel, so for every line the symbol on reel r is distributed as reel r's</t>
  </si>
  <si>
    <t xml:space="preserve">strip frequencies. The single-line probability table on the PAR tabs is therefore exact for all 20 lines.</t>
  </si>
  <si>
    <t xml:space="preserve">Reel strips (stop position = row - 2). Edit any symbol and every PAR tab recalculates.</t>
  </si>
  <si>
    <t xml:space="preserve">Stop</t>
  </si>
  <si>
    <t xml:space="preserve">Base96 R1</t>
  </si>
  <si>
    <t xml:space="preserve">Base96 R2</t>
  </si>
  <si>
    <t xml:space="preserve">Base96 R3</t>
  </si>
  <si>
    <t xml:space="preserve">Base96 R4</t>
  </si>
  <si>
    <t xml:space="preserve">Base96 R5</t>
  </si>
  <si>
    <t xml:space="preserve">Base94 R1</t>
  </si>
  <si>
    <t xml:space="preserve">Base94 R2</t>
  </si>
  <si>
    <t xml:space="preserve">Base94 R3</t>
  </si>
  <si>
    <t xml:space="preserve">Base94 R4</t>
  </si>
  <si>
    <t xml:space="preserve">Base94 R5</t>
  </si>
  <si>
    <t xml:space="preserve">Base92 R1</t>
  </si>
  <si>
    <t xml:space="preserve">Base92 R2</t>
  </si>
  <si>
    <t xml:space="preserve">Base92 R3</t>
  </si>
  <si>
    <t xml:space="preserve">Base92 R4</t>
  </si>
  <si>
    <t xml:space="preserve">Base92 R5</t>
  </si>
  <si>
    <t xml:space="preserve">Free R1</t>
  </si>
  <si>
    <t xml:space="preserve">Free R2</t>
  </si>
  <si>
    <t xml:space="preserve">Free R3</t>
  </si>
  <si>
    <t xml:space="preserve">Free R4</t>
  </si>
  <si>
    <t xml:space="preserve">Free R5</t>
  </si>
  <si>
    <t xml:space="preserve">STAR</t>
  </si>
  <si>
    <t xml:space="preserve">WILD</t>
  </si>
  <si>
    <t xml:space="preserve">PAR sheet — Lucky Sevens 20, 96% variant</t>
  </si>
  <si>
    <t xml:space="preserve">Black = live formula; blue = input; green = link to another tab; purple italic = value imported from the Python full-cycle / simulation run (for comparison only).</t>
  </si>
  <si>
    <t xml:space="preserve">1. Reel strip symbol counts (COUNTIF over the Strips tab)</t>
  </si>
  <si>
    <t xml:space="preserve">RTP SUMMARY (live)</t>
  </si>
  <si>
    <t xml:space="preserve">Base R1</t>
  </si>
  <si>
    <t xml:space="preserve">Base R2</t>
  </si>
  <si>
    <t xml:space="preserve">Base R3</t>
  </si>
  <si>
    <t xml:space="preserve">Base R4</t>
  </si>
  <si>
    <t xml:space="preserve">Base R5</t>
  </si>
  <si>
    <t xml:space="preserve">FS R1</t>
  </si>
  <si>
    <t xml:space="preserve">FS R2</t>
  </si>
  <si>
    <t xml:space="preserve">FS R3</t>
  </si>
  <si>
    <t xml:space="preserve">FS R4</t>
  </si>
  <si>
    <t xml:space="preserve">FS R5</t>
  </si>
  <si>
    <t xml:space="preserve">Component</t>
  </si>
  <si>
    <t xml:space="preserve">Excel (formula)</t>
  </si>
  <si>
    <t xml:space="preserve">Python exact</t>
  </si>
  <si>
    <t xml:space="preserve">Base game line RTP</t>
  </si>
  <si>
    <t xml:space="preserve">Base game STAR scatter RTP</t>
  </si>
  <si>
    <t xml:space="preserve">P(trigger) per base spin</t>
  </si>
  <si>
    <t xml:space="preserve">Free-spin line RTP per spin (raw)</t>
  </si>
  <si>
    <t xml:space="preserve">Free-spin scatter RTP per spin (raw)</t>
  </si>
  <si>
    <t xml:space="preserve">P(retrigger) per free spin</t>
  </si>
  <si>
    <t xml:space="preserve">Free-spin multiplier</t>
  </si>
  <si>
    <t xml:space="preserve">E[free spins per feature]</t>
  </si>
  <si>
    <t xml:space="preserve">Feature value (x total bet)</t>
  </si>
  <si>
    <t xml:space="preserve">THEORETICAL RTP before 5,000x cap</t>
  </si>
  <si>
    <t xml:space="preserve">Strip length</t>
  </si>
  <si>
    <t xml:space="preserve">Excel minus Python (uncapped)</t>
  </si>
  <si>
    <t xml:space="preserve">Full cycle (all stop combos)</t>
  </si>
  <si>
    <t xml:space="preserve">Max-win cap adjustment (exact DP, Python)</t>
  </si>
  <si>
    <t xml:space="preserve">FINAL THEORETICAL RTP</t>
  </si>
  <si>
    <t xml:space="preserve">2. Base game line wins (exact, from strip counts)</t>
  </si>
  <si>
    <t xml:space="preserve">Hold (house edge)</t>
  </si>
  <si>
    <t xml:space="preserve">OAK</t>
  </si>
  <si>
    <t xml:space="preserve">Pay x line</t>
  </si>
  <si>
    <t xml:space="preserve">Combos (per line, full cycle)</t>
  </si>
  <si>
    <t xml:space="preserve">Prob per line</t>
  </si>
  <si>
    <t xml:space="preserve">1 in</t>
  </si>
  <si>
    <t xml:space="preserve">RTP contribution</t>
  </si>
  <si>
    <t xml:space="preserve">RTP BY SYMBOL / FEATURE (live)</t>
  </si>
  <si>
    <t xml:space="preserve">Source</t>
  </si>
  <si>
    <t xml:space="preserve">Base game</t>
  </si>
  <si>
    <t xml:space="preserve">Free spins</t>
  </si>
  <si>
    <t xml:space="preserve">Total</t>
  </si>
  <si>
    <t xml:space="preserve">Share of RTP</t>
  </si>
  <si>
    <t xml:space="preserve">SEVEN lines</t>
  </si>
  <si>
    <t xml:space="preserve">BAR lines</t>
  </si>
  <si>
    <t xml:space="preserve">BELL lines</t>
  </si>
  <si>
    <t xml:space="preserve">MELON lines</t>
  </si>
  <si>
    <t xml:space="preserve">PLUM lines</t>
  </si>
  <si>
    <t xml:space="preserve">A lines</t>
  </si>
  <si>
    <t xml:space="preserve">K lines</t>
  </si>
  <si>
    <t xml:space="preserve">Q lines</t>
  </si>
  <si>
    <t xml:space="preserve">J lines</t>
  </si>
  <si>
    <t xml:space="preserve">10 lines</t>
  </si>
  <si>
    <t xml:space="preserve">STAR scatter pays</t>
  </si>
  <si>
    <t xml:space="preserve">Max-win cap</t>
  </si>
  <si>
    <t xml:space="preserve">Check vs final RTP</t>
  </si>
  <si>
    <t xml:space="preserve">DISTRIBUTION &amp; VOLATILITY (Python: exact full cycle + 250M-round simulation)</t>
  </si>
  <si>
    <t xml:space="preserve">Statistic</t>
  </si>
  <si>
    <t xml:space="preserve">Exact</t>
  </si>
  <si>
    <t xml:space="preserve">Simulated</t>
  </si>
  <si>
    <t xml:space="preserve">Notes</t>
  </si>
  <si>
    <t xml:space="preserve">RTP</t>
  </si>
  <si>
    <t xml:space="preserve">250,000,000 rounds; z = -0.63 vs exact</t>
  </si>
  <si>
    <t xml:space="preserve">Simulated RTP 95% CI</t>
  </si>
  <si>
    <t xml:space="preserve">95.9254% – 96.0391%</t>
  </si>
  <si>
    <t xml:space="preserve">exact inside CI</t>
  </si>
  <si>
    <t xml:space="preserve">Hit frequency (any win)</t>
  </si>
  <si>
    <t xml:space="preserve">1 in 1.783</t>
  </si>
  <si>
    <t xml:space="preserve">Feature trigger frequency</t>
  </si>
  <si>
    <t xml:space="preserve">1 in 120.6</t>
  </si>
  <si>
    <t xml:space="preserve">Free spins per feature</t>
  </si>
  <si>
    <t xml:space="preserve">Std deviation per round (x bet)</t>
  </si>
  <si>
    <t xml:space="preserve">Volatility index (90%, 1.645 x SD)</t>
  </si>
  <si>
    <t xml:space="preserve">Base game max win (x bet)</t>
  </si>
  <si>
    <t xml:space="preserve">Max free spin raw win (x bet, before x3)</t>
  </si>
  <si>
    <t xml:space="preserve">P(round hits 5,000x cap)</t>
  </si>
  <si>
    <t xml:space="preserve">sim cap hits: 0</t>
  </si>
  <si>
    <t xml:space="preserve">Total line RTP (x line bet per line = x total bet over 20 lines)</t>
  </si>
  <si>
    <t xml:space="preserve">Largest simulated round win (x bet)</t>
  </si>
  <si>
    <t xml:space="preserve">Prob. of any single line paying (per line)</t>
  </si>
  <si>
    <t xml:space="preserve">Round win (x total bet)</t>
  </si>
  <si>
    <t xml:space="preserve">Exact prob</t>
  </si>
  <si>
    <t xml:space="preserve">Simulated prob</t>
  </si>
  <si>
    <t xml:space="preserve">Exact 1 in</t>
  </si>
  <si>
    <t xml:space="preserve">3. Free-spin reel set line wins (per free spin, before x3 multiplier)</t>
  </si>
  <si>
    <t xml:space="preserve">0</t>
  </si>
  <si>
    <t xml:space="preserve">(0,1)</t>
  </si>
  <si>
    <t xml:space="preserve">[1,2)</t>
  </si>
  <si>
    <t xml:space="preserve">[2,5)</t>
  </si>
  <si>
    <t xml:space="preserve">[5,10)</t>
  </si>
  <si>
    <t xml:space="preserve">[10,20)</t>
  </si>
  <si>
    <t xml:space="preserve">[20,50)</t>
  </si>
  <si>
    <t xml:space="preserve">[50,100)</t>
  </si>
  <si>
    <t xml:space="preserve">[100,250)</t>
  </si>
  <si>
    <t xml:space="preserve">[250,500)</t>
  </si>
  <si>
    <t xml:space="preserve">[500,1000)</t>
  </si>
  <si>
    <t xml:space="preserve">[1000,2500)</t>
  </si>
  <si>
    <t xml:space="preserve">[2500,5000)</t>
  </si>
  <si>
    <t xml:space="preserve">5000 (cap)</t>
  </si>
  <si>
    <t xml:space="preserve">Spins played</t>
  </si>
  <si>
    <t xml:space="preserve">90% band ±</t>
  </si>
  <si>
    <t xml:space="preserve">95% band ±</t>
  </si>
  <si>
    <t xml:space="preserve">RTP 95% range</t>
  </si>
  <si>
    <t xml:space="preserve">4. Base game STAR scatter</t>
  </si>
  <si>
    <t xml:space="preserve">Reel</t>
  </si>
  <si>
    <t xml:space="preserve">STAR count</t>
  </si>
  <si>
    <t xml:space="preserve">Length</t>
  </si>
  <si>
    <t xml:space="preserve">P(STAR visible)</t>
  </si>
  <si>
    <t xml:space="preserve">P(0)</t>
  </si>
  <si>
    <t xml:space="preserve">P(1)</t>
  </si>
  <si>
    <t xml:space="preserve">P(2)</t>
  </si>
  <si>
    <t xml:space="preserve">P(3)</t>
  </si>
  <si>
    <t xml:space="preserve">P(4)</t>
  </si>
  <si>
    <t xml:space="preserve">P(5)</t>
  </si>
  <si>
    <t xml:space="preserve">start</t>
  </si>
  <si>
    <t xml:space="preserve">Pay x total bet</t>
  </si>
  <si>
    <t xml:space="preserve">Scatter RTP (x total bet)</t>
  </si>
  <si>
    <t xml:space="preserve">P(3+ STAR) = trigger / retrigger probability</t>
  </si>
  <si>
    <t xml:space="preserve">Poisson-binomial recursion over reels; exact because strips space STARs &gt;= 3 apart, so at most one per reel is visible.</t>
  </si>
  <si>
    <t xml:space="preserve">5. Free-spin STAR scatter / retrigger</t>
  </si>
  <si>
    <t xml:space="preserve">6. Free-spin Markov chain: P(t spins played, r retriggers); state alive while t &lt; award x (1 + r)</t>
  </si>
  <si>
    <t xml:space="preserve">t</t>
  </si>
  <si>
    <t xml:space="preserve">r=0</t>
  </si>
  <si>
    <t xml:space="preserve">r=1</t>
  </si>
  <si>
    <t xml:space="preserve">r=2</t>
  </si>
  <si>
    <t xml:space="preserve">r=3</t>
  </si>
  <si>
    <t xml:space="preserve">r=4</t>
  </si>
  <si>
    <t xml:space="preserve">Spins played at t (alive mass)</t>
  </si>
  <si>
    <t xml:space="preserve">P(r retriggers) at end</t>
  </si>
  <si>
    <t xml:space="preserve">Check: probabilities sum to 1</t>
  </si>
  <si>
    <t xml:space="preserve">Wald's identity: E[feature win] = E[spins] x E[win per spin], since each spin's outcome is independent of whether it is played.</t>
  </si>
  <si>
    <t xml:space="preserve">PAR sheet — Lucky Sevens 20, 94% variant</t>
  </si>
  <si>
    <t xml:space="preserve">250,000,000 rounds; z = -1.82 vs exact</t>
  </si>
  <si>
    <t xml:space="preserve">93.8907% – 94.0047%</t>
  </si>
  <si>
    <t xml:space="preserve">1 in 1.813</t>
  </si>
  <si>
    <t xml:space="preserve">1 in 118.6</t>
  </si>
  <si>
    <t xml:space="preserve">PAR sheet — Lucky Sevens 20, 92% variant</t>
  </si>
  <si>
    <t xml:space="preserve">250,000,000 rounds; z = +0.43 vs exact</t>
  </si>
  <si>
    <t xml:space="preserve">91.9549% – 92.0691%</t>
  </si>
  <si>
    <t xml:space="preserve">1 in 1.883</t>
  </si>
  <si>
    <t xml:space="preserve">1 in 119.2</t>
  </si>
  <si>
    <t xml:space="preserve">Compliance checks</t>
  </si>
  <si>
    <t xml:space="preserve">Jurisdiction</t>
  </si>
  <si>
    <t xml:space="preserve">Min RTP</t>
  </si>
  <si>
    <t xml:space="preserve">Max RTP</t>
  </si>
  <si>
    <t xml:space="preserve">Nevada (NGC Reg. 14.040)</t>
  </si>
  <si>
    <t xml:space="preserve">-</t>
  </si>
  <si>
    <t xml:space="preserve">Nevada Gaming Commission Regulation 14.040: &gt;= 75% of amounts wagered</t>
  </si>
  <si>
    <t xml:space="preserve">Mississippi (13 Miss. Code R. 7-12.5)</t>
  </si>
  <si>
    <t xml:space="preserve">80%-100% for each wager available</t>
  </si>
  <si>
    <t xml:space="preserve">New Jersey (N.J.A.C. 13:69E-1.28A)</t>
  </si>
  <si>
    <t xml:space="preserve">&gt;= 83%; no play with odds &gt; 100 million to 1</t>
  </si>
  <si>
    <t xml:space="preserve">Pennsylvania (4 Pa.C.S. 1207(10))</t>
  </si>
  <si>
    <t xml:space="preserve">theoretical payout no less than 85%</t>
  </si>
  <si>
    <t xml:space="preserve">Max-win cap and top-award odds</t>
  </si>
  <si>
    <t xml:space="preserve">Check</t>
  </si>
  <si>
    <t xml:space="preserve">Limit</t>
  </si>
  <si>
    <t xml:space="preserve">Basis</t>
  </si>
  <si>
    <t xml:space="preserve">Round win never exceeds cap (x bet)</t>
  </si>
  <si>
    <t xml:space="preserve">Enforced in game logic; max simulated round win shown</t>
  </si>
  <si>
    <t xml:space="preserve">Rarest pay-table line combo odds (1 in, per line)</t>
  </si>
  <si>
    <t xml:space="preserve">NJ: no play with odds &gt; 100M:1 (per-line odds are a conservative bound)</t>
  </si>
  <si>
    <t xml:space="preserve">Feature trigger reachable on every wager</t>
  </si>
  <si>
    <t xml:space="preserve">P(trigger) &gt; 0 from strip counts</t>
  </si>
  <si>
    <t xml:space="preserve">P(round reaches 5,000x cap)</t>
  </si>
  <si>
    <t xml:space="preserve">Exact (Python DP). Cap is a safety limit, not an advertised pay-table award.</t>
  </si>
  <si>
    <t xml:space="preserve">RNG / implementation chi-square tests (Python; alpha = 0.01 per test)</t>
  </si>
  <si>
    <t xml:space="preserve">Test</t>
  </si>
  <si>
    <t xml:space="preserve">Variant</t>
  </si>
  <si>
    <t xml:space="preserve">Chi-square</t>
  </si>
  <si>
    <t xml:space="preserve">df</t>
  </si>
  <si>
    <t xml:space="preserve">p-value</t>
  </si>
  <si>
    <t xml:space="preserve">Result</t>
  </si>
  <si>
    <t xml:space="preserve">stop uniformity base reel1</t>
  </si>
  <si>
    <t xml:space="preserve">96%</t>
  </si>
  <si>
    <t xml:space="preserve">stop uniformity fs reel1</t>
  </si>
  <si>
    <t xml:space="preserve">stop uniformity base reel2</t>
  </si>
  <si>
    <t xml:space="preserve">stop uniformity fs reel2</t>
  </si>
  <si>
    <t xml:space="preserve">stop uniformity base reel3</t>
  </si>
  <si>
    <t xml:space="preserve">stop uniformity fs reel3</t>
  </si>
  <si>
    <t xml:space="preserve">stop uniformity base reel4</t>
  </si>
  <si>
    <t xml:space="preserve">stop uniformity fs reel4</t>
  </si>
  <si>
    <t xml:space="preserve">stop uniformity base reel5</t>
  </si>
  <si>
    <t xml:space="preserve">stop uniformity fs reel5</t>
  </si>
  <si>
    <t xml:space="preserve">independence reel1 x reel2</t>
  </si>
  <si>
    <t xml:space="preserve">serial pairs reel1</t>
  </si>
  <si>
    <t xml:space="preserve">scatter count vs exact</t>
  </si>
  <si>
    <t xml:space="preserve">win buckets vs exact</t>
  </si>
  <si>
    <t xml:space="preserve">94%</t>
  </si>
  <si>
    <t xml:space="preserve">92%</t>
  </si>
  <si>
    <t xml:space="preserve">raw byte uniformity</t>
  </si>
  <si>
    <t xml:space="preserve">raw PCG64 stream</t>
  </si>
  <si>
    <t xml:space="preserve">raw monobit</t>
  </si>
  <si>
    <t xml:space="preserve">z</t>
  </si>
  <si>
    <t xml:space="preserve">raw nibble serial pairs</t>
  </si>
  <si>
    <t xml:space="preserve">With this many independent tests, about 1% are expected to fall below 0.01 by chance alone.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</si>
</sst>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0.000000%"/>
    <numFmt numFmtId="166" formatCode="0.000E+00"/>
    <numFmt numFmtId="167" formatCode="0.0000%"/>
    <numFmt numFmtId="168" formatCode="#,##0.0"/>
    <numFmt numFmtId="169" formatCode="0.00"/>
    <numFmt numFmtId="170" formatCode="#,##0"/>
    <numFmt numFmtId="171" formatCode="0.000000000"/>
    <numFmt numFmtId="172" formatCode="0"/>
    <numFmt numFmtId="173" formatCode="0.000000"/>
    <numFmt numFmtId="174" formatCode="General"/>
    <numFmt numFmtId="175" formatCode="0.00%"/>
    <numFmt numFmtId="176" formatCode="0.0000"/>
    <numFmt numFmtId="177" formatCode="#,##0.00"/>
    <numFmt numFmtId="178" formatCode="&quot;1 in &quot;#,##0.00"/>
    <numFmt numFmtId="179" formatCode="0.000000000000"/>
    <numFmt numFmtId="180" formatCode="0%"/>
    <numFmt numFmtId="181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7030A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PAR_96!P20</f>
        <v>0.960005038040397</v>
      </c>
      <c r="C5" s="5" t="n">
        <f aca="false">PAR_94!P20</f>
        <v>0.940008477188458</v>
      </c>
      <c r="D5" s="5" t="n">
        <f aca="false">PAR_92!P20</f>
        <v>0.919995340647563</v>
      </c>
    </row>
    <row r="6" customFormat="false" ht="15" hidden="false" customHeight="false" outlineLevel="0" collapsed="false">
      <c r="A6" s="4" t="s">
        <v>7</v>
      </c>
      <c r="B6" s="6" t="n">
        <v>0.960005038040397</v>
      </c>
      <c r="C6" s="6" t="n">
        <v>0.940008477188458</v>
      </c>
      <c r="D6" s="6" t="n">
        <v>0.919995340647562</v>
      </c>
    </row>
    <row r="7" customFormat="false" ht="15" hidden="false" customHeight="false" outlineLevel="0" collapsed="false">
      <c r="A7" s="4" t="s">
        <v>8</v>
      </c>
      <c r="B7" s="7" t="n">
        <f aca="false">PAR_96!P18</f>
        <v>0</v>
      </c>
      <c r="C7" s="7" t="n">
        <f aca="false">PAR_94!P18</f>
        <v>0</v>
      </c>
      <c r="D7" s="7" t="n">
        <f aca="false">PAR_92!P18</f>
        <v>0</v>
      </c>
    </row>
    <row r="8" customFormat="false" ht="15" hidden="false" customHeight="false" outlineLevel="0" collapsed="false">
      <c r="A8" s="4" t="s">
        <v>9</v>
      </c>
      <c r="B8" s="8" t="n">
        <f aca="false">PAR_96!P8</f>
        <v>0.680137572886297</v>
      </c>
      <c r="C8" s="8" t="n">
        <f aca="false">PAR_94!P8</f>
        <v>0.655425100934683</v>
      </c>
      <c r="D8" s="8" t="n">
        <f aca="false">PAR_92!P8</f>
        <v>0.636860706681046</v>
      </c>
    </row>
    <row r="9" customFormat="false" ht="15" hidden="false" customHeight="false" outlineLevel="0" collapsed="false">
      <c r="A9" s="4" t="s">
        <v>10</v>
      </c>
      <c r="B9" s="8" t="n">
        <f aca="false">PAR_96!P16</f>
        <v>0.2798674651541</v>
      </c>
      <c r="C9" s="8" t="n">
        <f aca="false">PAR_94!P16</f>
        <v>0.284583376253775</v>
      </c>
      <c r="D9" s="8" t="n">
        <f aca="false">PAR_92!P16</f>
        <v>0.283134633966516</v>
      </c>
    </row>
    <row r="10" customFormat="false" ht="15" hidden="false" customHeight="false" outlineLevel="0" collapsed="false">
      <c r="A10" s="4" t="s">
        <v>11</v>
      </c>
      <c r="B10" s="9" t="n">
        <f aca="false">1/PAR_96!P9</f>
        <v>120.57563440624</v>
      </c>
      <c r="C10" s="9" t="n">
        <f aca="false">1/PAR_94!P9</f>
        <v>118.577541685111</v>
      </c>
      <c r="D10" s="9" t="n">
        <f aca="false">1/PAR_92!P9</f>
        <v>119.184278828328</v>
      </c>
    </row>
    <row r="11" customFormat="false" ht="15" hidden="false" customHeight="false" outlineLevel="0" collapsed="false">
      <c r="A11" s="4" t="s">
        <v>12</v>
      </c>
      <c r="B11" s="10" t="n">
        <v>0.560928541059281</v>
      </c>
      <c r="C11" s="10" t="n">
        <v>0.551723338725734</v>
      </c>
      <c r="D11" s="10" t="n">
        <v>0.53107262112162</v>
      </c>
    </row>
    <row r="12" customFormat="false" ht="15" hidden="false" customHeight="false" outlineLevel="0" collapsed="false">
      <c r="A12" s="4" t="s">
        <v>13</v>
      </c>
      <c r="B12" s="11" t="n">
        <v>7.55352782205336</v>
      </c>
      <c r="C12" s="11" t="n">
        <v>7.58055007529453</v>
      </c>
      <c r="D12" s="11" t="n">
        <v>7.58060909293621</v>
      </c>
    </row>
    <row r="13" customFormat="false" ht="15" hidden="false" customHeight="false" outlineLevel="0" collapsed="false">
      <c r="A13" s="4" t="s">
        <v>14</v>
      </c>
      <c r="B13" s="12" t="n">
        <v>250000000</v>
      </c>
      <c r="C13" s="12" t="n">
        <v>250000000</v>
      </c>
      <c r="D13" s="12" t="n">
        <v>250000000</v>
      </c>
    </row>
    <row r="14" customFormat="false" ht="15" hidden="false" customHeight="false" outlineLevel="0" collapsed="false">
      <c r="A14" s="4" t="s">
        <v>15</v>
      </c>
      <c r="B14" s="10" t="n">
        <v>0.9598221496</v>
      </c>
      <c r="C14" s="10" t="n">
        <v>0.9394772314</v>
      </c>
      <c r="D14" s="10" t="n">
        <v>0.9201198046</v>
      </c>
    </row>
    <row r="15" customFormat="false" ht="15" hidden="false" customHeight="false" outlineLevel="0" collapsed="false">
      <c r="A15" s="4" t="s">
        <v>16</v>
      </c>
      <c r="B15" s="10" t="n">
        <v>0.959253546718336</v>
      </c>
      <c r="C15" s="10" t="n">
        <v>0.938906987945446</v>
      </c>
      <c r="D15" s="10" t="n">
        <v>0.919548845787859</v>
      </c>
    </row>
    <row r="16" customFormat="false" ht="15" hidden="false" customHeight="false" outlineLevel="0" collapsed="false">
      <c r="A16" s="4" t="s">
        <v>17</v>
      </c>
      <c r="B16" s="10" t="n">
        <v>0.960390752481664</v>
      </c>
      <c r="C16" s="10" t="n">
        <v>0.940047474854554</v>
      </c>
      <c r="D16" s="10" t="n">
        <v>0.920690763412141</v>
      </c>
    </row>
    <row r="17" customFormat="false" ht="15" hidden="false" customHeight="false" outlineLevel="0" collapsed="false">
      <c r="A17" s="4" t="s">
        <v>18</v>
      </c>
      <c r="B17" s="13" t="s">
        <v>19</v>
      </c>
      <c r="C17" s="13" t="s">
        <v>20</v>
      </c>
      <c r="D17" s="13" t="s">
        <v>21</v>
      </c>
    </row>
    <row r="18" customFormat="false" ht="15" hidden="false" customHeight="false" outlineLevel="0" collapsed="false">
      <c r="A18" s="4" t="s">
        <v>22</v>
      </c>
      <c r="B18" s="12" t="n">
        <v>118540800</v>
      </c>
      <c r="C18" s="12" t="n">
        <v>115718400</v>
      </c>
      <c r="D18" s="12" t="n">
        <v>115718400</v>
      </c>
    </row>
    <row r="21" customFormat="false" ht="15" hidden="false" customHeight="false" outlineLevel="0" collapsed="false">
      <c r="A21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0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3" t="s">
        <v>26</v>
      </c>
      <c r="B4" s="3" t="s">
        <v>27</v>
      </c>
      <c r="D4" s="14" t="s">
        <v>28</v>
      </c>
    </row>
    <row r="5" customFormat="false" ht="15" hidden="false" customHeight="false" outlineLevel="0" collapsed="false">
      <c r="A5" s="4" t="s">
        <v>29</v>
      </c>
      <c r="B5" s="15" t="n">
        <v>5</v>
      </c>
      <c r="D5" s="16" t="s">
        <v>30</v>
      </c>
    </row>
    <row r="6" customFormat="false" ht="15" hidden="false" customHeight="false" outlineLevel="0" collapsed="false">
      <c r="A6" s="4" t="s">
        <v>31</v>
      </c>
      <c r="B6" s="15" t="n">
        <v>3</v>
      </c>
      <c r="D6" s="16" t="s">
        <v>32</v>
      </c>
    </row>
    <row r="7" customFormat="false" ht="15" hidden="false" customHeight="false" outlineLevel="0" collapsed="false">
      <c r="A7" s="4" t="s">
        <v>33</v>
      </c>
      <c r="B7" s="15" t="n">
        <v>20</v>
      </c>
      <c r="D7" s="16" t="s">
        <v>34</v>
      </c>
    </row>
    <row r="8" customFormat="false" ht="15" hidden="false" customHeight="false" outlineLevel="0" collapsed="false">
      <c r="A8" s="4" t="s">
        <v>35</v>
      </c>
      <c r="B8" s="15" t="n">
        <v>20</v>
      </c>
      <c r="D8" s="16" t="s">
        <v>36</v>
      </c>
    </row>
    <row r="9" customFormat="false" ht="15" hidden="false" customHeight="false" outlineLevel="0" collapsed="false">
      <c r="A9" s="4" t="s">
        <v>37</v>
      </c>
      <c r="B9" s="15" t="n">
        <v>10</v>
      </c>
      <c r="D9" s="16" t="s">
        <v>38</v>
      </c>
    </row>
    <row r="10" customFormat="false" ht="15" hidden="false" customHeight="false" outlineLevel="0" collapsed="false">
      <c r="A10" s="4" t="s">
        <v>39</v>
      </c>
      <c r="B10" s="15" t="n">
        <v>3</v>
      </c>
      <c r="D10" s="16" t="s">
        <v>40</v>
      </c>
    </row>
    <row r="11" customFormat="false" ht="15" hidden="false" customHeight="false" outlineLevel="0" collapsed="false">
      <c r="A11" s="4" t="s">
        <v>41</v>
      </c>
      <c r="B11" s="15" t="n">
        <v>50</v>
      </c>
    </row>
    <row r="12" customFormat="false" ht="15" hidden="false" customHeight="false" outlineLevel="0" collapsed="false">
      <c r="A12" s="4" t="s">
        <v>42</v>
      </c>
      <c r="B12" s="15" t="n">
        <v>5000</v>
      </c>
    </row>
    <row r="14" customFormat="false" ht="15" hidden="false" customHeight="false" outlineLevel="0" collapsed="false">
      <c r="A14" s="14" t="s">
        <v>43</v>
      </c>
    </row>
    <row r="15" customFormat="false" ht="15" hidden="false" customHeight="false" outlineLevel="0" collapsed="false">
      <c r="A15" s="3" t="s">
        <v>44</v>
      </c>
      <c r="B15" s="3" t="s">
        <v>45</v>
      </c>
      <c r="C15" s="3" t="s">
        <v>46</v>
      </c>
      <c r="D15" s="3" t="s">
        <v>47</v>
      </c>
      <c r="E15" s="3" t="s">
        <v>48</v>
      </c>
    </row>
    <row r="16" customFormat="false" ht="15" hidden="false" customHeight="false" outlineLevel="0" collapsed="false">
      <c r="A16" s="4" t="s">
        <v>49</v>
      </c>
      <c r="B16" s="15" t="n">
        <v>2</v>
      </c>
      <c r="C16" s="15" t="n">
        <v>50</v>
      </c>
      <c r="D16" s="15" t="n">
        <v>250</v>
      </c>
      <c r="E16" s="15" t="n">
        <v>1000</v>
      </c>
    </row>
    <row r="17" customFormat="false" ht="15" hidden="false" customHeight="false" outlineLevel="0" collapsed="false">
      <c r="A17" s="4" t="s">
        <v>50</v>
      </c>
      <c r="B17" s="15" t="n">
        <v>0</v>
      </c>
      <c r="C17" s="15" t="n">
        <v>30</v>
      </c>
      <c r="D17" s="15" t="n">
        <v>120</v>
      </c>
      <c r="E17" s="15" t="n">
        <v>500</v>
      </c>
    </row>
    <row r="18" customFormat="false" ht="15" hidden="false" customHeight="false" outlineLevel="0" collapsed="false">
      <c r="A18" s="4" t="s">
        <v>51</v>
      </c>
      <c r="B18" s="15" t="n">
        <v>0</v>
      </c>
      <c r="C18" s="15" t="n">
        <v>20</v>
      </c>
      <c r="D18" s="15" t="n">
        <v>80</v>
      </c>
      <c r="E18" s="15" t="n">
        <v>300</v>
      </c>
    </row>
    <row r="19" customFormat="false" ht="15" hidden="false" customHeight="false" outlineLevel="0" collapsed="false">
      <c r="A19" s="4" t="s">
        <v>52</v>
      </c>
      <c r="B19" s="15" t="n">
        <v>0</v>
      </c>
      <c r="C19" s="15" t="n">
        <v>15</v>
      </c>
      <c r="D19" s="15" t="n">
        <v>50</v>
      </c>
      <c r="E19" s="15" t="n">
        <v>150</v>
      </c>
    </row>
    <row r="20" customFormat="false" ht="15" hidden="false" customHeight="false" outlineLevel="0" collapsed="false">
      <c r="A20" s="4" t="s">
        <v>53</v>
      </c>
      <c r="B20" s="15" t="n">
        <v>0</v>
      </c>
      <c r="C20" s="15" t="n">
        <v>10</v>
      </c>
      <c r="D20" s="15" t="n">
        <v>40</v>
      </c>
      <c r="E20" s="15" t="n">
        <v>125</v>
      </c>
    </row>
    <row r="21" customFormat="false" ht="15" hidden="false" customHeight="false" outlineLevel="0" collapsed="false">
      <c r="A21" s="4" t="s">
        <v>54</v>
      </c>
      <c r="B21" s="15" t="n">
        <v>0</v>
      </c>
      <c r="C21" s="15" t="n">
        <v>5</v>
      </c>
      <c r="D21" s="15" t="n">
        <v>25</v>
      </c>
      <c r="E21" s="15" t="n">
        <v>100</v>
      </c>
    </row>
    <row r="22" customFormat="false" ht="15" hidden="false" customHeight="false" outlineLevel="0" collapsed="false">
      <c r="A22" s="4" t="s">
        <v>55</v>
      </c>
      <c r="B22" s="15" t="n">
        <v>0</v>
      </c>
      <c r="C22" s="15" t="n">
        <v>5</v>
      </c>
      <c r="D22" s="15" t="n">
        <v>20</v>
      </c>
      <c r="E22" s="15" t="n">
        <v>80</v>
      </c>
    </row>
    <row r="23" customFormat="false" ht="15" hidden="false" customHeight="false" outlineLevel="0" collapsed="false">
      <c r="A23" s="4" t="s">
        <v>56</v>
      </c>
      <c r="B23" s="15" t="n">
        <v>0</v>
      </c>
      <c r="C23" s="15" t="n">
        <v>5</v>
      </c>
      <c r="D23" s="15" t="n">
        <v>15</v>
      </c>
      <c r="E23" s="15" t="n">
        <v>60</v>
      </c>
    </row>
    <row r="24" customFormat="false" ht="15" hidden="false" customHeight="false" outlineLevel="0" collapsed="false">
      <c r="A24" s="4" t="s">
        <v>57</v>
      </c>
      <c r="B24" s="15" t="n">
        <v>0</v>
      </c>
      <c r="C24" s="15" t="n">
        <v>4</v>
      </c>
      <c r="D24" s="15" t="n">
        <v>10</v>
      </c>
      <c r="E24" s="15" t="n">
        <v>50</v>
      </c>
    </row>
    <row r="25" customFormat="false" ht="15" hidden="false" customHeight="false" outlineLevel="0" collapsed="false">
      <c r="A25" s="4" t="s">
        <v>58</v>
      </c>
      <c r="B25" s="15" t="n">
        <v>0</v>
      </c>
      <c r="C25" s="15" t="n">
        <v>4</v>
      </c>
      <c r="D25" s="15" t="n">
        <v>10</v>
      </c>
      <c r="E25" s="15" t="n">
        <v>40</v>
      </c>
    </row>
    <row r="27" customFormat="false" ht="15" hidden="false" customHeight="false" outlineLevel="0" collapsed="false">
      <c r="A27" s="14" t="s">
        <v>59</v>
      </c>
    </row>
    <row r="28" customFormat="false" ht="15" hidden="false" customHeight="false" outlineLevel="0" collapsed="false">
      <c r="A28" s="3" t="s">
        <v>60</v>
      </c>
      <c r="B28" s="3" t="s">
        <v>61</v>
      </c>
    </row>
    <row r="29" customFormat="false" ht="15" hidden="false" customHeight="false" outlineLevel="0" collapsed="false">
      <c r="A29" s="4" t="n">
        <v>0</v>
      </c>
      <c r="B29" s="15" t="n">
        <v>0</v>
      </c>
    </row>
    <row r="30" customFormat="false" ht="15" hidden="false" customHeight="false" outlineLevel="0" collapsed="false">
      <c r="A30" s="4" t="n">
        <v>1</v>
      </c>
      <c r="B30" s="15" t="n">
        <v>0</v>
      </c>
    </row>
    <row r="31" customFormat="false" ht="15" hidden="false" customHeight="false" outlineLevel="0" collapsed="false">
      <c r="A31" s="4" t="n">
        <v>2</v>
      </c>
      <c r="B31" s="15" t="n">
        <v>0</v>
      </c>
    </row>
    <row r="32" customFormat="false" ht="15" hidden="false" customHeight="false" outlineLevel="0" collapsed="false">
      <c r="A32" s="4" t="n">
        <v>3</v>
      </c>
      <c r="B32" s="15" t="n">
        <v>2</v>
      </c>
    </row>
    <row r="33" customFormat="false" ht="15" hidden="false" customHeight="false" outlineLevel="0" collapsed="false">
      <c r="A33" s="4" t="n">
        <v>4</v>
      </c>
      <c r="B33" s="15" t="n">
        <v>10</v>
      </c>
    </row>
    <row r="34" customFormat="false" ht="15" hidden="false" customHeight="false" outlineLevel="0" collapsed="false">
      <c r="A34" s="4" t="n">
        <v>5</v>
      </c>
      <c r="B34" s="15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4" t="s">
        <v>62</v>
      </c>
    </row>
    <row r="3" customFormat="false" ht="15" hidden="false" customHeight="false" outlineLevel="0" collapsed="false">
      <c r="A3" s="3" t="s">
        <v>63</v>
      </c>
      <c r="B3" s="3" t="s">
        <v>64</v>
      </c>
      <c r="C3" s="3" t="s">
        <v>65</v>
      </c>
      <c r="D3" s="3" t="s">
        <v>66</v>
      </c>
      <c r="E3" s="3" t="s">
        <v>67</v>
      </c>
      <c r="F3" s="3" t="s">
        <v>68</v>
      </c>
      <c r="H3" s="2" t="s">
        <v>69</v>
      </c>
    </row>
    <row r="4" customFormat="false" ht="15" hidden="false" customHeight="false" outlineLevel="0" collapsed="false">
      <c r="A4" s="4" t="n">
        <v>1</v>
      </c>
      <c r="B4" s="15" t="n">
        <v>1</v>
      </c>
      <c r="C4" s="15" t="n">
        <v>1</v>
      </c>
      <c r="D4" s="15" t="n">
        <v>1</v>
      </c>
      <c r="E4" s="15" t="n">
        <v>1</v>
      </c>
      <c r="F4" s="15" t="n">
        <v>1</v>
      </c>
      <c r="H4" s="2" t="s">
        <v>70</v>
      </c>
    </row>
    <row r="5" customFormat="false" ht="15" hidden="false" customHeight="false" outlineLevel="0" collapsed="false">
      <c r="A5" s="4" t="n">
        <v>2</v>
      </c>
      <c r="B5" s="15" t="n">
        <v>0</v>
      </c>
      <c r="C5" s="15" t="n">
        <v>0</v>
      </c>
      <c r="D5" s="15" t="n">
        <v>0</v>
      </c>
      <c r="E5" s="15" t="n">
        <v>0</v>
      </c>
      <c r="F5" s="15" t="n">
        <v>0</v>
      </c>
    </row>
    <row r="6" customFormat="false" ht="15" hidden="false" customHeight="false" outlineLevel="0" collapsed="false">
      <c r="A6" s="4" t="n">
        <v>3</v>
      </c>
      <c r="B6" s="15" t="n">
        <v>2</v>
      </c>
      <c r="C6" s="15" t="n">
        <v>2</v>
      </c>
      <c r="D6" s="15" t="n">
        <v>2</v>
      </c>
      <c r="E6" s="15" t="n">
        <v>2</v>
      </c>
      <c r="F6" s="15" t="n">
        <v>2</v>
      </c>
    </row>
    <row r="7" customFormat="false" ht="15" hidden="false" customHeight="false" outlineLevel="0" collapsed="false">
      <c r="A7" s="4" t="n">
        <v>4</v>
      </c>
      <c r="B7" s="15" t="n">
        <v>0</v>
      </c>
      <c r="C7" s="15" t="n">
        <v>1</v>
      </c>
      <c r="D7" s="15" t="n">
        <v>2</v>
      </c>
      <c r="E7" s="15" t="n">
        <v>1</v>
      </c>
      <c r="F7" s="15" t="n">
        <v>0</v>
      </c>
    </row>
    <row r="8" customFormat="false" ht="15" hidden="false" customHeight="false" outlineLevel="0" collapsed="false">
      <c r="A8" s="4" t="n">
        <v>5</v>
      </c>
      <c r="B8" s="15" t="n">
        <v>2</v>
      </c>
      <c r="C8" s="15" t="n">
        <v>1</v>
      </c>
      <c r="D8" s="15" t="n">
        <v>0</v>
      </c>
      <c r="E8" s="15" t="n">
        <v>1</v>
      </c>
      <c r="F8" s="15" t="n">
        <v>2</v>
      </c>
    </row>
    <row r="9" customFormat="false" ht="15" hidden="false" customHeight="false" outlineLevel="0" collapsed="false">
      <c r="A9" s="4" t="n">
        <v>6</v>
      </c>
      <c r="B9" s="15" t="n">
        <v>0</v>
      </c>
      <c r="C9" s="15" t="n">
        <v>0</v>
      </c>
      <c r="D9" s="15" t="n">
        <v>1</v>
      </c>
      <c r="E9" s="15" t="n">
        <v>2</v>
      </c>
      <c r="F9" s="15" t="n">
        <v>2</v>
      </c>
    </row>
    <row r="10" customFormat="false" ht="15" hidden="false" customHeight="false" outlineLevel="0" collapsed="false">
      <c r="A10" s="4" t="n">
        <v>7</v>
      </c>
      <c r="B10" s="15" t="n">
        <v>2</v>
      </c>
      <c r="C10" s="15" t="n">
        <v>2</v>
      </c>
      <c r="D10" s="15" t="n">
        <v>1</v>
      </c>
      <c r="E10" s="15" t="n">
        <v>0</v>
      </c>
      <c r="F10" s="15" t="n">
        <v>0</v>
      </c>
    </row>
    <row r="11" customFormat="false" ht="15" hidden="false" customHeight="false" outlineLevel="0" collapsed="false">
      <c r="A11" s="4" t="n">
        <v>8</v>
      </c>
      <c r="B11" s="15" t="n">
        <v>1</v>
      </c>
      <c r="C11" s="15" t="n">
        <v>0</v>
      </c>
      <c r="D11" s="15" t="n">
        <v>0</v>
      </c>
      <c r="E11" s="15" t="n">
        <v>0</v>
      </c>
      <c r="F11" s="15" t="n">
        <v>1</v>
      </c>
    </row>
    <row r="12" customFormat="false" ht="15" hidden="false" customHeight="false" outlineLevel="0" collapsed="false">
      <c r="A12" s="4" t="n">
        <v>9</v>
      </c>
      <c r="B12" s="15" t="n">
        <v>1</v>
      </c>
      <c r="C12" s="15" t="n">
        <v>2</v>
      </c>
      <c r="D12" s="15" t="n">
        <v>2</v>
      </c>
      <c r="E12" s="15" t="n">
        <v>2</v>
      </c>
      <c r="F12" s="15" t="n">
        <v>1</v>
      </c>
    </row>
    <row r="13" customFormat="false" ht="15" hidden="false" customHeight="false" outlineLevel="0" collapsed="false">
      <c r="A13" s="4" t="n">
        <v>10</v>
      </c>
      <c r="B13" s="15" t="n">
        <v>0</v>
      </c>
      <c r="C13" s="15" t="n">
        <v>1</v>
      </c>
      <c r="D13" s="15" t="n">
        <v>1</v>
      </c>
      <c r="E13" s="15" t="n">
        <v>1</v>
      </c>
      <c r="F13" s="15" t="n">
        <v>0</v>
      </c>
    </row>
    <row r="14" customFormat="false" ht="15" hidden="false" customHeight="false" outlineLevel="0" collapsed="false">
      <c r="A14" s="4" t="n">
        <v>11</v>
      </c>
      <c r="B14" s="15" t="n">
        <v>2</v>
      </c>
      <c r="C14" s="15" t="n">
        <v>1</v>
      </c>
      <c r="D14" s="15" t="n">
        <v>1</v>
      </c>
      <c r="E14" s="15" t="n">
        <v>1</v>
      </c>
      <c r="F14" s="15" t="n">
        <v>2</v>
      </c>
    </row>
    <row r="15" customFormat="false" ht="15" hidden="false" customHeight="false" outlineLevel="0" collapsed="false">
      <c r="A15" s="4" t="n">
        <v>12</v>
      </c>
      <c r="B15" s="15" t="n">
        <v>1</v>
      </c>
      <c r="C15" s="15" t="n">
        <v>0</v>
      </c>
      <c r="D15" s="15" t="n">
        <v>1</v>
      </c>
      <c r="E15" s="15" t="n">
        <v>2</v>
      </c>
      <c r="F15" s="15" t="n">
        <v>1</v>
      </c>
    </row>
    <row r="16" customFormat="false" ht="15" hidden="false" customHeight="false" outlineLevel="0" collapsed="false">
      <c r="A16" s="4" t="n">
        <v>13</v>
      </c>
      <c r="B16" s="15" t="n">
        <v>1</v>
      </c>
      <c r="C16" s="15" t="n">
        <v>2</v>
      </c>
      <c r="D16" s="15" t="n">
        <v>1</v>
      </c>
      <c r="E16" s="15" t="n">
        <v>0</v>
      </c>
      <c r="F16" s="15" t="n">
        <v>1</v>
      </c>
    </row>
    <row r="17" customFormat="false" ht="15" hidden="false" customHeight="false" outlineLevel="0" collapsed="false">
      <c r="A17" s="4" t="n">
        <v>14</v>
      </c>
      <c r="B17" s="15" t="n">
        <v>0</v>
      </c>
      <c r="C17" s="15" t="n">
        <v>1</v>
      </c>
      <c r="D17" s="15" t="n">
        <v>0</v>
      </c>
      <c r="E17" s="15" t="n">
        <v>1</v>
      </c>
      <c r="F17" s="15" t="n">
        <v>0</v>
      </c>
    </row>
    <row r="18" customFormat="false" ht="15" hidden="false" customHeight="false" outlineLevel="0" collapsed="false">
      <c r="A18" s="4" t="n">
        <v>15</v>
      </c>
      <c r="B18" s="15" t="n">
        <v>2</v>
      </c>
      <c r="C18" s="15" t="n">
        <v>1</v>
      </c>
      <c r="D18" s="15" t="n">
        <v>2</v>
      </c>
      <c r="E18" s="15" t="n">
        <v>1</v>
      </c>
      <c r="F18" s="15" t="n">
        <v>2</v>
      </c>
    </row>
    <row r="19" customFormat="false" ht="15" hidden="false" customHeight="false" outlineLevel="0" collapsed="false">
      <c r="A19" s="4" t="n">
        <v>16</v>
      </c>
      <c r="B19" s="15" t="n">
        <v>1</v>
      </c>
      <c r="C19" s="15" t="n">
        <v>1</v>
      </c>
      <c r="D19" s="15" t="n">
        <v>0</v>
      </c>
      <c r="E19" s="15" t="n">
        <v>1</v>
      </c>
      <c r="F19" s="15" t="n">
        <v>1</v>
      </c>
    </row>
    <row r="20" customFormat="false" ht="15" hidden="false" customHeight="false" outlineLevel="0" collapsed="false">
      <c r="A20" s="4" t="n">
        <v>17</v>
      </c>
      <c r="B20" s="15" t="n">
        <v>1</v>
      </c>
      <c r="C20" s="15" t="n">
        <v>1</v>
      </c>
      <c r="D20" s="15" t="n">
        <v>2</v>
      </c>
      <c r="E20" s="15" t="n">
        <v>1</v>
      </c>
      <c r="F20" s="15" t="n">
        <v>1</v>
      </c>
    </row>
    <row r="21" customFormat="false" ht="15" hidden="false" customHeight="false" outlineLevel="0" collapsed="false">
      <c r="A21" s="4" t="n">
        <v>18</v>
      </c>
      <c r="B21" s="15" t="n">
        <v>0</v>
      </c>
      <c r="C21" s="15" t="n">
        <v>2</v>
      </c>
      <c r="D21" s="15" t="n">
        <v>0</v>
      </c>
      <c r="E21" s="15" t="n">
        <v>2</v>
      </c>
      <c r="F21" s="15" t="n">
        <v>0</v>
      </c>
    </row>
    <row r="22" customFormat="false" ht="15" hidden="false" customHeight="false" outlineLevel="0" collapsed="false">
      <c r="A22" s="4" t="n">
        <v>19</v>
      </c>
      <c r="B22" s="15" t="n">
        <v>2</v>
      </c>
      <c r="C22" s="15" t="n">
        <v>0</v>
      </c>
      <c r="D22" s="15" t="n">
        <v>2</v>
      </c>
      <c r="E22" s="15" t="n">
        <v>0</v>
      </c>
      <c r="F22" s="15" t="n">
        <v>2</v>
      </c>
    </row>
    <row r="23" customFormat="false" ht="15" hidden="false" customHeight="false" outlineLevel="0" collapsed="false">
      <c r="A23" s="4" t="n">
        <v>20</v>
      </c>
      <c r="B23" s="15" t="n">
        <v>0</v>
      </c>
      <c r="C23" s="15" t="n">
        <v>2</v>
      </c>
      <c r="D23" s="15" t="n">
        <v>2</v>
      </c>
      <c r="E23" s="15" t="n">
        <v>2</v>
      </c>
      <c r="F23" s="1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2" style="0" width="8"/>
    <col collapsed="false" customWidth="true" hidden="false" outlineLevel="0" max="12" min="8" style="0" width="8"/>
    <col collapsed="false" customWidth="true" hidden="false" outlineLevel="0" max="18" min="14" style="0" width="8"/>
    <col collapsed="false" customWidth="true" hidden="false" outlineLevel="0" max="24" min="20" style="0" width="8"/>
  </cols>
  <sheetData>
    <row r="1" customFormat="false" ht="15" hidden="false" customHeight="false" outlineLevel="0" collapsed="false">
      <c r="A1" s="14" t="s">
        <v>71</v>
      </c>
    </row>
    <row r="2" customFormat="false" ht="15" hidden="false" customHeight="false" outlineLevel="0" collapsed="false">
      <c r="A2" s="17" t="s">
        <v>72</v>
      </c>
      <c r="B2" s="18" t="s">
        <v>73</v>
      </c>
      <c r="C2" s="18" t="s">
        <v>74</v>
      </c>
      <c r="D2" s="18" t="s">
        <v>75</v>
      </c>
      <c r="E2" s="18" t="s">
        <v>76</v>
      </c>
      <c r="F2" s="18" t="s">
        <v>77</v>
      </c>
      <c r="H2" s="18" t="s">
        <v>78</v>
      </c>
      <c r="I2" s="18" t="s">
        <v>79</v>
      </c>
      <c r="J2" s="18" t="s">
        <v>80</v>
      </c>
      <c r="K2" s="18" t="s">
        <v>81</v>
      </c>
      <c r="L2" s="18" t="s">
        <v>82</v>
      </c>
      <c r="N2" s="18" t="s">
        <v>83</v>
      </c>
      <c r="O2" s="18" t="s">
        <v>84</v>
      </c>
      <c r="P2" s="18" t="s">
        <v>85</v>
      </c>
      <c r="Q2" s="18" t="s">
        <v>86</v>
      </c>
      <c r="R2" s="18" t="s">
        <v>87</v>
      </c>
      <c r="T2" s="18" t="s">
        <v>88</v>
      </c>
      <c r="U2" s="18" t="s">
        <v>89</v>
      </c>
      <c r="V2" s="18" t="s">
        <v>90</v>
      </c>
      <c r="W2" s="18" t="s">
        <v>91</v>
      </c>
      <c r="X2" s="18" t="s">
        <v>92</v>
      </c>
    </row>
    <row r="3" customFormat="false" ht="15" hidden="false" customHeight="false" outlineLevel="0" collapsed="false">
      <c r="A3" s="4" t="n">
        <v>0</v>
      </c>
      <c r="B3" s="19" t="s">
        <v>93</v>
      </c>
      <c r="C3" s="19" t="s">
        <v>93</v>
      </c>
      <c r="D3" s="19" t="s">
        <v>93</v>
      </c>
      <c r="E3" s="19" t="s">
        <v>93</v>
      </c>
      <c r="F3" s="19" t="s">
        <v>93</v>
      </c>
      <c r="H3" s="19" t="s">
        <v>93</v>
      </c>
      <c r="I3" s="19" t="s">
        <v>93</v>
      </c>
      <c r="J3" s="19" t="s">
        <v>93</v>
      </c>
      <c r="K3" s="19" t="s">
        <v>93</v>
      </c>
      <c r="L3" s="19" t="s">
        <v>93</v>
      </c>
      <c r="N3" s="19" t="s">
        <v>93</v>
      </c>
      <c r="O3" s="19" t="s">
        <v>93</v>
      </c>
      <c r="P3" s="19" t="s">
        <v>93</v>
      </c>
      <c r="Q3" s="19" t="s">
        <v>93</v>
      </c>
      <c r="R3" s="19" t="s">
        <v>93</v>
      </c>
      <c r="T3" s="19" t="s">
        <v>93</v>
      </c>
      <c r="U3" s="19" t="s">
        <v>93</v>
      </c>
      <c r="V3" s="19" t="s">
        <v>93</v>
      </c>
      <c r="W3" s="19" t="s">
        <v>93</v>
      </c>
      <c r="X3" s="19" t="s">
        <v>93</v>
      </c>
    </row>
    <row r="4" customFormat="false" ht="15" hidden="false" customHeight="false" outlineLevel="0" collapsed="false">
      <c r="A4" s="4" t="n">
        <v>1</v>
      </c>
      <c r="B4" s="19" t="s">
        <v>58</v>
      </c>
      <c r="C4" s="19" t="s">
        <v>94</v>
      </c>
      <c r="D4" s="19" t="s">
        <v>94</v>
      </c>
      <c r="E4" s="19" t="s">
        <v>94</v>
      </c>
      <c r="F4" s="19" t="s">
        <v>57</v>
      </c>
      <c r="H4" s="19" t="s">
        <v>58</v>
      </c>
      <c r="I4" s="19" t="s">
        <v>94</v>
      </c>
      <c r="J4" s="19" t="s">
        <v>94</v>
      </c>
      <c r="K4" s="19" t="s">
        <v>94</v>
      </c>
      <c r="L4" s="19" t="s">
        <v>58</v>
      </c>
      <c r="N4" s="19" t="s">
        <v>58</v>
      </c>
      <c r="O4" s="19" t="s">
        <v>94</v>
      </c>
      <c r="P4" s="19" t="s">
        <v>94</v>
      </c>
      <c r="Q4" s="19" t="s">
        <v>94</v>
      </c>
      <c r="R4" s="19" t="s">
        <v>58</v>
      </c>
      <c r="T4" s="19" t="s">
        <v>58</v>
      </c>
      <c r="U4" s="19" t="s">
        <v>94</v>
      </c>
      <c r="V4" s="19" t="s">
        <v>94</v>
      </c>
      <c r="W4" s="19" t="s">
        <v>94</v>
      </c>
      <c r="X4" s="19" t="s">
        <v>58</v>
      </c>
    </row>
    <row r="5" customFormat="false" ht="15" hidden="false" customHeight="false" outlineLevel="0" collapsed="false">
      <c r="A5" s="4" t="n">
        <v>2</v>
      </c>
      <c r="B5" s="19" t="s">
        <v>56</v>
      </c>
      <c r="C5" s="19" t="s">
        <v>57</v>
      </c>
      <c r="D5" s="19" t="s">
        <v>58</v>
      </c>
      <c r="E5" s="19" t="s">
        <v>58</v>
      </c>
      <c r="F5" s="19" t="s">
        <v>58</v>
      </c>
      <c r="H5" s="19" t="s">
        <v>56</v>
      </c>
      <c r="I5" s="19" t="s">
        <v>58</v>
      </c>
      <c r="J5" s="19" t="s">
        <v>58</v>
      </c>
      <c r="K5" s="19" t="s">
        <v>56</v>
      </c>
      <c r="L5" s="19" t="s">
        <v>56</v>
      </c>
      <c r="N5" s="19" t="s">
        <v>57</v>
      </c>
      <c r="O5" s="19" t="s">
        <v>58</v>
      </c>
      <c r="P5" s="19" t="s">
        <v>58</v>
      </c>
      <c r="Q5" s="19" t="s">
        <v>58</v>
      </c>
      <c r="R5" s="19" t="s">
        <v>57</v>
      </c>
      <c r="T5" s="19" t="s">
        <v>55</v>
      </c>
      <c r="U5" s="19" t="s">
        <v>58</v>
      </c>
      <c r="V5" s="19" t="s">
        <v>58</v>
      </c>
      <c r="W5" s="19" t="s">
        <v>58</v>
      </c>
      <c r="X5" s="19" t="s">
        <v>55</v>
      </c>
    </row>
    <row r="6" customFormat="false" ht="15" hidden="false" customHeight="false" outlineLevel="0" collapsed="false">
      <c r="A6" s="4" t="n">
        <v>3</v>
      </c>
      <c r="B6" s="19" t="s">
        <v>57</v>
      </c>
      <c r="C6" s="19" t="s">
        <v>58</v>
      </c>
      <c r="D6" s="19" t="s">
        <v>56</v>
      </c>
      <c r="E6" s="19" t="s">
        <v>55</v>
      </c>
      <c r="F6" s="19" t="s">
        <v>55</v>
      </c>
      <c r="H6" s="19" t="s">
        <v>57</v>
      </c>
      <c r="I6" s="19" t="s">
        <v>56</v>
      </c>
      <c r="J6" s="19" t="s">
        <v>56</v>
      </c>
      <c r="K6" s="19" t="s">
        <v>57</v>
      </c>
      <c r="L6" s="19" t="s">
        <v>57</v>
      </c>
      <c r="N6" s="19" t="s">
        <v>55</v>
      </c>
      <c r="O6" s="19" t="s">
        <v>56</v>
      </c>
      <c r="P6" s="19" t="s">
        <v>56</v>
      </c>
      <c r="Q6" s="19" t="s">
        <v>57</v>
      </c>
      <c r="R6" s="19" t="s">
        <v>54</v>
      </c>
      <c r="T6" s="19" t="s">
        <v>56</v>
      </c>
      <c r="U6" s="19" t="s">
        <v>52</v>
      </c>
      <c r="V6" s="19" t="s">
        <v>52</v>
      </c>
      <c r="W6" s="19" t="s">
        <v>52</v>
      </c>
      <c r="X6" s="19" t="s">
        <v>56</v>
      </c>
    </row>
    <row r="7" customFormat="false" ht="15" hidden="false" customHeight="false" outlineLevel="0" collapsed="false">
      <c r="A7" s="4" t="n">
        <v>4</v>
      </c>
      <c r="B7" s="19" t="s">
        <v>55</v>
      </c>
      <c r="C7" s="19" t="s">
        <v>54</v>
      </c>
      <c r="D7" s="19" t="s">
        <v>57</v>
      </c>
      <c r="E7" s="19" t="s">
        <v>56</v>
      </c>
      <c r="F7" s="19" t="s">
        <v>56</v>
      </c>
      <c r="H7" s="19" t="s">
        <v>55</v>
      </c>
      <c r="I7" s="19" t="s">
        <v>57</v>
      </c>
      <c r="J7" s="19" t="s">
        <v>57</v>
      </c>
      <c r="K7" s="19" t="s">
        <v>58</v>
      </c>
      <c r="L7" s="19" t="s">
        <v>55</v>
      </c>
      <c r="N7" s="19" t="s">
        <v>56</v>
      </c>
      <c r="O7" s="19" t="s">
        <v>57</v>
      </c>
      <c r="P7" s="19" t="s">
        <v>57</v>
      </c>
      <c r="Q7" s="19" t="s">
        <v>54</v>
      </c>
      <c r="R7" s="19" t="s">
        <v>55</v>
      </c>
      <c r="T7" s="19" t="s">
        <v>57</v>
      </c>
      <c r="U7" s="19" t="s">
        <v>53</v>
      </c>
      <c r="V7" s="19" t="s">
        <v>53</v>
      </c>
      <c r="W7" s="19" t="s">
        <v>53</v>
      </c>
      <c r="X7" s="19" t="s">
        <v>57</v>
      </c>
    </row>
    <row r="8" customFormat="false" ht="15" hidden="false" customHeight="false" outlineLevel="0" collapsed="false">
      <c r="A8" s="4" t="n">
        <v>5</v>
      </c>
      <c r="B8" s="19" t="s">
        <v>54</v>
      </c>
      <c r="C8" s="19" t="s">
        <v>55</v>
      </c>
      <c r="D8" s="19" t="s">
        <v>54</v>
      </c>
      <c r="E8" s="19" t="s">
        <v>57</v>
      </c>
      <c r="F8" s="19" t="s">
        <v>54</v>
      </c>
      <c r="H8" s="19" t="s">
        <v>54</v>
      </c>
      <c r="I8" s="19" t="s">
        <v>54</v>
      </c>
      <c r="J8" s="19" t="s">
        <v>54</v>
      </c>
      <c r="K8" s="19" t="s">
        <v>54</v>
      </c>
      <c r="L8" s="19" t="s">
        <v>54</v>
      </c>
      <c r="N8" s="19" t="s">
        <v>54</v>
      </c>
      <c r="O8" s="19" t="s">
        <v>54</v>
      </c>
      <c r="P8" s="19" t="s">
        <v>54</v>
      </c>
      <c r="Q8" s="19" t="s">
        <v>55</v>
      </c>
      <c r="R8" s="19" t="s">
        <v>56</v>
      </c>
      <c r="T8" s="19" t="s">
        <v>51</v>
      </c>
      <c r="U8" s="19" t="s">
        <v>54</v>
      </c>
      <c r="V8" s="19" t="s">
        <v>54</v>
      </c>
      <c r="W8" s="19" t="s">
        <v>54</v>
      </c>
      <c r="X8" s="19" t="s">
        <v>51</v>
      </c>
    </row>
    <row r="9" customFormat="false" ht="15" hidden="false" customHeight="false" outlineLevel="0" collapsed="false">
      <c r="A9" s="4" t="n">
        <v>6</v>
      </c>
      <c r="B9" s="19" t="s">
        <v>52</v>
      </c>
      <c r="C9" s="19" t="s">
        <v>56</v>
      </c>
      <c r="D9" s="19" t="s">
        <v>55</v>
      </c>
      <c r="E9" s="19" t="s">
        <v>52</v>
      </c>
      <c r="F9" s="19" t="s">
        <v>52</v>
      </c>
      <c r="H9" s="19" t="s">
        <v>52</v>
      </c>
      <c r="I9" s="19" t="s">
        <v>55</v>
      </c>
      <c r="J9" s="19" t="s">
        <v>55</v>
      </c>
      <c r="K9" s="19" t="s">
        <v>55</v>
      </c>
      <c r="L9" s="19" t="s">
        <v>52</v>
      </c>
      <c r="N9" s="19" t="s">
        <v>51</v>
      </c>
      <c r="O9" s="19" t="s">
        <v>55</v>
      </c>
      <c r="P9" s="19" t="s">
        <v>55</v>
      </c>
      <c r="Q9" s="19" t="s">
        <v>56</v>
      </c>
      <c r="R9" s="19" t="s">
        <v>52</v>
      </c>
      <c r="T9" s="19" t="s">
        <v>52</v>
      </c>
      <c r="U9" s="19" t="s">
        <v>55</v>
      </c>
      <c r="V9" s="19" t="s">
        <v>55</v>
      </c>
      <c r="W9" s="19" t="s">
        <v>55</v>
      </c>
      <c r="X9" s="19" t="s">
        <v>52</v>
      </c>
    </row>
    <row r="10" customFormat="false" ht="15" hidden="false" customHeight="false" outlineLevel="0" collapsed="false">
      <c r="A10" s="4" t="n">
        <v>7</v>
      </c>
      <c r="B10" s="19" t="s">
        <v>53</v>
      </c>
      <c r="C10" s="19" t="s">
        <v>52</v>
      </c>
      <c r="D10" s="19" t="s">
        <v>52</v>
      </c>
      <c r="E10" s="19" t="s">
        <v>53</v>
      </c>
      <c r="F10" s="19" t="s">
        <v>53</v>
      </c>
      <c r="H10" s="19" t="s">
        <v>53</v>
      </c>
      <c r="I10" s="19" t="s">
        <v>52</v>
      </c>
      <c r="J10" s="19" t="s">
        <v>52</v>
      </c>
      <c r="K10" s="19" t="s">
        <v>52</v>
      </c>
      <c r="L10" s="19" t="s">
        <v>53</v>
      </c>
      <c r="N10" s="19" t="s">
        <v>52</v>
      </c>
      <c r="O10" s="19" t="s">
        <v>52</v>
      </c>
      <c r="P10" s="19" t="s">
        <v>52</v>
      </c>
      <c r="Q10" s="19" t="s">
        <v>52</v>
      </c>
      <c r="R10" s="19" t="s">
        <v>53</v>
      </c>
      <c r="T10" s="19" t="s">
        <v>53</v>
      </c>
      <c r="U10" s="19" t="s">
        <v>56</v>
      </c>
      <c r="V10" s="19" t="s">
        <v>56</v>
      </c>
      <c r="W10" s="19" t="s">
        <v>56</v>
      </c>
      <c r="X10" s="19" t="s">
        <v>53</v>
      </c>
    </row>
    <row r="11" customFormat="false" ht="15" hidden="false" customHeight="false" outlineLevel="0" collapsed="false">
      <c r="A11" s="4" t="n">
        <v>8</v>
      </c>
      <c r="B11" s="19" t="s">
        <v>58</v>
      </c>
      <c r="C11" s="19" t="s">
        <v>53</v>
      </c>
      <c r="D11" s="19" t="s">
        <v>53</v>
      </c>
      <c r="E11" s="19" t="s">
        <v>54</v>
      </c>
      <c r="F11" s="19" t="s">
        <v>57</v>
      </c>
      <c r="H11" s="19" t="s">
        <v>58</v>
      </c>
      <c r="I11" s="19" t="s">
        <v>53</v>
      </c>
      <c r="J11" s="19" t="s">
        <v>53</v>
      </c>
      <c r="K11" s="19" t="s">
        <v>53</v>
      </c>
      <c r="L11" s="19" t="s">
        <v>58</v>
      </c>
      <c r="N11" s="19" t="s">
        <v>53</v>
      </c>
      <c r="O11" s="19" t="s">
        <v>53</v>
      </c>
      <c r="P11" s="19" t="s">
        <v>53</v>
      </c>
      <c r="Q11" s="19" t="s">
        <v>53</v>
      </c>
      <c r="R11" s="19" t="s">
        <v>58</v>
      </c>
      <c r="T11" s="19" t="s">
        <v>54</v>
      </c>
      <c r="U11" s="19" t="s">
        <v>57</v>
      </c>
      <c r="V11" s="19" t="s">
        <v>57</v>
      </c>
      <c r="W11" s="19" t="s">
        <v>57</v>
      </c>
      <c r="X11" s="19" t="s">
        <v>54</v>
      </c>
    </row>
    <row r="12" customFormat="false" ht="15" hidden="false" customHeight="false" outlineLevel="0" collapsed="false">
      <c r="A12" s="4" t="n">
        <v>9</v>
      </c>
      <c r="B12" s="19" t="s">
        <v>50</v>
      </c>
      <c r="C12" s="19" t="s">
        <v>50</v>
      </c>
      <c r="D12" s="19" t="s">
        <v>94</v>
      </c>
      <c r="E12" s="19" t="s">
        <v>50</v>
      </c>
      <c r="F12" s="19" t="s">
        <v>58</v>
      </c>
      <c r="H12" s="19" t="s">
        <v>50</v>
      </c>
      <c r="I12" s="19" t="s">
        <v>50</v>
      </c>
      <c r="J12" s="19" t="s">
        <v>94</v>
      </c>
      <c r="K12" s="19" t="s">
        <v>49</v>
      </c>
      <c r="L12" s="19" t="s">
        <v>50</v>
      </c>
      <c r="N12" s="19" t="s">
        <v>58</v>
      </c>
      <c r="O12" s="19" t="s">
        <v>50</v>
      </c>
      <c r="P12" s="19" t="s">
        <v>50</v>
      </c>
      <c r="Q12" s="19" t="s">
        <v>49</v>
      </c>
      <c r="R12" s="19" t="s">
        <v>50</v>
      </c>
      <c r="T12" s="19" t="s">
        <v>49</v>
      </c>
      <c r="U12" s="19" t="s">
        <v>49</v>
      </c>
      <c r="V12" s="19" t="s">
        <v>49</v>
      </c>
      <c r="W12" s="19" t="s">
        <v>49</v>
      </c>
      <c r="X12" s="19" t="s">
        <v>49</v>
      </c>
    </row>
    <row r="13" customFormat="false" ht="15" hidden="false" customHeight="false" outlineLevel="0" collapsed="false">
      <c r="A13" s="4" t="n">
        <v>10</v>
      </c>
      <c r="B13" s="19" t="s">
        <v>56</v>
      </c>
      <c r="C13" s="19" t="s">
        <v>94</v>
      </c>
      <c r="D13" s="19" t="s">
        <v>50</v>
      </c>
      <c r="E13" s="19" t="s">
        <v>94</v>
      </c>
      <c r="F13" s="19" t="s">
        <v>50</v>
      </c>
      <c r="H13" s="19" t="s">
        <v>56</v>
      </c>
      <c r="I13" s="19" t="s">
        <v>94</v>
      </c>
      <c r="J13" s="19" t="s">
        <v>50</v>
      </c>
      <c r="K13" s="19" t="s">
        <v>50</v>
      </c>
      <c r="L13" s="19" t="s">
        <v>56</v>
      </c>
      <c r="N13" s="19" t="s">
        <v>50</v>
      </c>
      <c r="O13" s="19" t="s">
        <v>94</v>
      </c>
      <c r="P13" s="19" t="s">
        <v>94</v>
      </c>
      <c r="Q13" s="19" t="s">
        <v>50</v>
      </c>
      <c r="R13" s="19" t="s">
        <v>57</v>
      </c>
      <c r="T13" s="19" t="s">
        <v>50</v>
      </c>
      <c r="U13" s="19" t="s">
        <v>50</v>
      </c>
      <c r="V13" s="19" t="s">
        <v>50</v>
      </c>
      <c r="W13" s="19" t="s">
        <v>50</v>
      </c>
      <c r="X13" s="19" t="s">
        <v>50</v>
      </c>
    </row>
    <row r="14" customFormat="false" ht="15" hidden="false" customHeight="false" outlineLevel="0" collapsed="false">
      <c r="A14" s="4" t="n">
        <v>11</v>
      </c>
      <c r="B14" s="19" t="s">
        <v>57</v>
      </c>
      <c r="C14" s="19" t="s">
        <v>57</v>
      </c>
      <c r="D14" s="19" t="s">
        <v>58</v>
      </c>
      <c r="E14" s="19" t="s">
        <v>58</v>
      </c>
      <c r="F14" s="19" t="s">
        <v>51</v>
      </c>
      <c r="H14" s="19" t="s">
        <v>57</v>
      </c>
      <c r="I14" s="19" t="s">
        <v>58</v>
      </c>
      <c r="J14" s="19" t="s">
        <v>58</v>
      </c>
      <c r="K14" s="19" t="s">
        <v>51</v>
      </c>
      <c r="L14" s="19" t="s">
        <v>57</v>
      </c>
      <c r="N14" s="19" t="s">
        <v>57</v>
      </c>
      <c r="O14" s="19" t="s">
        <v>58</v>
      </c>
      <c r="P14" s="19" t="s">
        <v>58</v>
      </c>
      <c r="Q14" s="19" t="s">
        <v>94</v>
      </c>
      <c r="R14" s="19" t="s">
        <v>51</v>
      </c>
      <c r="T14" s="19" t="s">
        <v>58</v>
      </c>
      <c r="U14" s="19" t="s">
        <v>94</v>
      </c>
      <c r="V14" s="19" t="s">
        <v>94</v>
      </c>
      <c r="W14" s="19" t="s">
        <v>94</v>
      </c>
      <c r="X14" s="19" t="s">
        <v>58</v>
      </c>
    </row>
    <row r="15" customFormat="false" ht="15" hidden="false" customHeight="false" outlineLevel="0" collapsed="false">
      <c r="A15" s="4" t="n">
        <v>12</v>
      </c>
      <c r="B15" s="19" t="s">
        <v>51</v>
      </c>
      <c r="C15" s="19" t="s">
        <v>58</v>
      </c>
      <c r="D15" s="19" t="s">
        <v>51</v>
      </c>
      <c r="E15" s="19" t="s">
        <v>51</v>
      </c>
      <c r="F15" s="19" t="s">
        <v>55</v>
      </c>
      <c r="H15" s="19" t="s">
        <v>51</v>
      </c>
      <c r="I15" s="19" t="s">
        <v>51</v>
      </c>
      <c r="J15" s="19" t="s">
        <v>51</v>
      </c>
      <c r="K15" s="19" t="s">
        <v>56</v>
      </c>
      <c r="L15" s="19" t="s">
        <v>51</v>
      </c>
      <c r="N15" s="19" t="s">
        <v>55</v>
      </c>
      <c r="O15" s="19" t="s">
        <v>51</v>
      </c>
      <c r="P15" s="19" t="s">
        <v>51</v>
      </c>
      <c r="Q15" s="19" t="s">
        <v>58</v>
      </c>
      <c r="R15" s="19" t="s">
        <v>54</v>
      </c>
      <c r="T15" s="19" t="s">
        <v>55</v>
      </c>
      <c r="U15" s="19" t="s">
        <v>51</v>
      </c>
      <c r="V15" s="19" t="s">
        <v>51</v>
      </c>
      <c r="W15" s="19" t="s">
        <v>51</v>
      </c>
      <c r="X15" s="19" t="s">
        <v>55</v>
      </c>
    </row>
    <row r="16" customFormat="false" ht="15" hidden="false" customHeight="false" outlineLevel="0" collapsed="false">
      <c r="A16" s="4" t="n">
        <v>13</v>
      </c>
      <c r="B16" s="19" t="s">
        <v>55</v>
      </c>
      <c r="C16" s="19" t="s">
        <v>51</v>
      </c>
      <c r="D16" s="19" t="s">
        <v>56</v>
      </c>
      <c r="E16" s="19" t="s">
        <v>55</v>
      </c>
      <c r="F16" s="19" t="s">
        <v>56</v>
      </c>
      <c r="H16" s="19" t="s">
        <v>55</v>
      </c>
      <c r="I16" s="19" t="s">
        <v>56</v>
      </c>
      <c r="J16" s="19" t="s">
        <v>56</v>
      </c>
      <c r="K16" s="19" t="s">
        <v>57</v>
      </c>
      <c r="L16" s="19" t="s">
        <v>55</v>
      </c>
      <c r="N16" s="19" t="s">
        <v>56</v>
      </c>
      <c r="O16" s="19" t="s">
        <v>56</v>
      </c>
      <c r="P16" s="19" t="s">
        <v>56</v>
      </c>
      <c r="Q16" s="19" t="s">
        <v>51</v>
      </c>
      <c r="R16" s="19" t="s">
        <v>55</v>
      </c>
      <c r="T16" s="19" t="s">
        <v>56</v>
      </c>
      <c r="U16" s="19" t="s">
        <v>58</v>
      </c>
      <c r="V16" s="19" t="s">
        <v>58</v>
      </c>
      <c r="W16" s="19" t="s">
        <v>58</v>
      </c>
      <c r="X16" s="19" t="s">
        <v>56</v>
      </c>
    </row>
    <row r="17" customFormat="false" ht="15" hidden="false" customHeight="false" outlineLevel="0" collapsed="false">
      <c r="A17" s="4" t="n">
        <v>14</v>
      </c>
      <c r="B17" s="19" t="s">
        <v>58</v>
      </c>
      <c r="C17" s="19" t="s">
        <v>54</v>
      </c>
      <c r="D17" s="19" t="s">
        <v>57</v>
      </c>
      <c r="E17" s="19" t="s">
        <v>56</v>
      </c>
      <c r="F17" s="19" t="s">
        <v>57</v>
      </c>
      <c r="H17" s="19" t="s">
        <v>58</v>
      </c>
      <c r="I17" s="19" t="s">
        <v>57</v>
      </c>
      <c r="J17" s="19" t="s">
        <v>57</v>
      </c>
      <c r="K17" s="19" t="s">
        <v>58</v>
      </c>
      <c r="L17" s="19" t="s">
        <v>58</v>
      </c>
      <c r="N17" s="19" t="s">
        <v>58</v>
      </c>
      <c r="O17" s="19" t="s">
        <v>57</v>
      </c>
      <c r="P17" s="19" t="s">
        <v>57</v>
      </c>
      <c r="Q17" s="19" t="s">
        <v>57</v>
      </c>
      <c r="R17" s="19" t="s">
        <v>56</v>
      </c>
      <c r="T17" s="19" t="s">
        <v>57</v>
      </c>
      <c r="U17" s="19" t="s">
        <v>94</v>
      </c>
      <c r="V17" s="19" t="s">
        <v>94</v>
      </c>
      <c r="W17" s="19" t="s">
        <v>94</v>
      </c>
      <c r="X17" s="19" t="s">
        <v>57</v>
      </c>
    </row>
    <row r="18" customFormat="false" ht="15" hidden="false" customHeight="false" outlineLevel="0" collapsed="false">
      <c r="A18" s="4" t="n">
        <v>15</v>
      </c>
      <c r="B18" s="19" t="s">
        <v>54</v>
      </c>
      <c r="C18" s="19" t="s">
        <v>55</v>
      </c>
      <c r="D18" s="19" t="s">
        <v>94</v>
      </c>
      <c r="E18" s="19" t="s">
        <v>57</v>
      </c>
      <c r="F18" s="19" t="s">
        <v>58</v>
      </c>
      <c r="H18" s="19" t="s">
        <v>54</v>
      </c>
      <c r="I18" s="19" t="s">
        <v>54</v>
      </c>
      <c r="J18" s="19" t="s">
        <v>94</v>
      </c>
      <c r="K18" s="19" t="s">
        <v>94</v>
      </c>
      <c r="L18" s="19" t="s">
        <v>54</v>
      </c>
      <c r="N18" s="19" t="s">
        <v>54</v>
      </c>
      <c r="O18" s="19" t="s">
        <v>54</v>
      </c>
      <c r="P18" s="19" t="s">
        <v>54</v>
      </c>
      <c r="Q18" s="19" t="s">
        <v>54</v>
      </c>
      <c r="R18" s="19" t="s">
        <v>58</v>
      </c>
      <c r="T18" s="19" t="s">
        <v>51</v>
      </c>
      <c r="U18" s="19" t="s">
        <v>52</v>
      </c>
      <c r="V18" s="19" t="s">
        <v>52</v>
      </c>
      <c r="W18" s="19" t="s">
        <v>52</v>
      </c>
      <c r="X18" s="19" t="s">
        <v>51</v>
      </c>
    </row>
    <row r="19" customFormat="false" ht="15" hidden="false" customHeight="false" outlineLevel="0" collapsed="false">
      <c r="A19" s="4" t="n">
        <v>16</v>
      </c>
      <c r="B19" s="19" t="s">
        <v>56</v>
      </c>
      <c r="C19" s="19" t="s">
        <v>56</v>
      </c>
      <c r="D19" s="19" t="s">
        <v>54</v>
      </c>
      <c r="E19" s="19" t="s">
        <v>58</v>
      </c>
      <c r="F19" s="19" t="s">
        <v>54</v>
      </c>
      <c r="H19" s="19" t="s">
        <v>56</v>
      </c>
      <c r="I19" s="19" t="s">
        <v>55</v>
      </c>
      <c r="J19" s="19" t="s">
        <v>54</v>
      </c>
      <c r="K19" s="19" t="s">
        <v>54</v>
      </c>
      <c r="L19" s="19" t="s">
        <v>56</v>
      </c>
      <c r="N19" s="19" t="s">
        <v>57</v>
      </c>
      <c r="O19" s="19" t="s">
        <v>55</v>
      </c>
      <c r="P19" s="19" t="s">
        <v>55</v>
      </c>
      <c r="Q19" s="19" t="s">
        <v>55</v>
      </c>
      <c r="R19" s="19" t="s">
        <v>57</v>
      </c>
      <c r="T19" s="19" t="s">
        <v>52</v>
      </c>
      <c r="U19" s="19" t="s">
        <v>53</v>
      </c>
      <c r="V19" s="19" t="s">
        <v>53</v>
      </c>
      <c r="W19" s="19" t="s">
        <v>53</v>
      </c>
      <c r="X19" s="19" t="s">
        <v>52</v>
      </c>
    </row>
    <row r="20" customFormat="false" ht="15" hidden="false" customHeight="false" outlineLevel="0" collapsed="false">
      <c r="A20" s="4" t="n">
        <v>17</v>
      </c>
      <c r="B20" s="19" t="s">
        <v>57</v>
      </c>
      <c r="C20" s="19" t="s">
        <v>57</v>
      </c>
      <c r="D20" s="19" t="s">
        <v>55</v>
      </c>
      <c r="E20" s="19" t="s">
        <v>94</v>
      </c>
      <c r="F20" s="19" t="s">
        <v>57</v>
      </c>
      <c r="H20" s="19" t="s">
        <v>57</v>
      </c>
      <c r="I20" s="19" t="s">
        <v>58</v>
      </c>
      <c r="J20" s="19" t="s">
        <v>55</v>
      </c>
      <c r="K20" s="19" t="s">
        <v>55</v>
      </c>
      <c r="L20" s="19" t="s">
        <v>57</v>
      </c>
      <c r="N20" s="19" t="s">
        <v>51</v>
      </c>
      <c r="O20" s="19" t="s">
        <v>58</v>
      </c>
      <c r="P20" s="19" t="s">
        <v>58</v>
      </c>
      <c r="Q20" s="19" t="s">
        <v>56</v>
      </c>
      <c r="R20" s="19" t="s">
        <v>54</v>
      </c>
      <c r="T20" s="19" t="s">
        <v>53</v>
      </c>
      <c r="U20" s="19" t="s">
        <v>54</v>
      </c>
      <c r="V20" s="19" t="s">
        <v>54</v>
      </c>
      <c r="W20" s="19" t="s">
        <v>54</v>
      </c>
      <c r="X20" s="19" t="s">
        <v>53</v>
      </c>
    </row>
    <row r="21" customFormat="false" ht="15" hidden="false" customHeight="false" outlineLevel="0" collapsed="false">
      <c r="A21" s="4" t="n">
        <v>18</v>
      </c>
      <c r="B21" s="19" t="s">
        <v>58</v>
      </c>
      <c r="C21" s="19" t="s">
        <v>58</v>
      </c>
      <c r="D21" s="19" t="s">
        <v>58</v>
      </c>
      <c r="E21" s="19" t="s">
        <v>55</v>
      </c>
      <c r="F21" s="19" t="s">
        <v>58</v>
      </c>
      <c r="H21" s="19" t="s">
        <v>58</v>
      </c>
      <c r="I21" s="19" t="s">
        <v>94</v>
      </c>
      <c r="J21" s="19" t="s">
        <v>58</v>
      </c>
      <c r="K21" s="19" t="s">
        <v>52</v>
      </c>
      <c r="L21" s="19" t="s">
        <v>58</v>
      </c>
      <c r="N21" s="19" t="s">
        <v>58</v>
      </c>
      <c r="O21" s="19" t="s">
        <v>94</v>
      </c>
      <c r="P21" s="19" t="s">
        <v>94</v>
      </c>
      <c r="Q21" s="19" t="s">
        <v>58</v>
      </c>
      <c r="R21" s="19" t="s">
        <v>58</v>
      </c>
      <c r="T21" s="19" t="s">
        <v>58</v>
      </c>
      <c r="U21" s="19" t="s">
        <v>55</v>
      </c>
      <c r="V21" s="19" t="s">
        <v>55</v>
      </c>
      <c r="W21" s="19" t="s">
        <v>55</v>
      </c>
      <c r="X21" s="19" t="s">
        <v>58</v>
      </c>
    </row>
    <row r="22" customFormat="false" ht="15" hidden="false" customHeight="false" outlineLevel="0" collapsed="false">
      <c r="A22" s="4" t="n">
        <v>19</v>
      </c>
      <c r="B22" s="19" t="s">
        <v>55</v>
      </c>
      <c r="C22" s="19" t="s">
        <v>94</v>
      </c>
      <c r="D22" s="19" t="s">
        <v>52</v>
      </c>
      <c r="E22" s="19" t="s">
        <v>52</v>
      </c>
      <c r="F22" s="19" t="s">
        <v>55</v>
      </c>
      <c r="H22" s="19" t="s">
        <v>55</v>
      </c>
      <c r="I22" s="19" t="s">
        <v>52</v>
      </c>
      <c r="J22" s="19" t="s">
        <v>52</v>
      </c>
      <c r="K22" s="19" t="s">
        <v>56</v>
      </c>
      <c r="L22" s="19" t="s">
        <v>55</v>
      </c>
      <c r="N22" s="19" t="s">
        <v>55</v>
      </c>
      <c r="O22" s="19" t="s">
        <v>52</v>
      </c>
      <c r="P22" s="19" t="s">
        <v>52</v>
      </c>
      <c r="Q22" s="19" t="s">
        <v>94</v>
      </c>
      <c r="R22" s="19" t="s">
        <v>55</v>
      </c>
      <c r="T22" s="19" t="s">
        <v>54</v>
      </c>
      <c r="U22" s="19" t="s">
        <v>56</v>
      </c>
      <c r="V22" s="19" t="s">
        <v>56</v>
      </c>
      <c r="W22" s="19" t="s">
        <v>56</v>
      </c>
      <c r="X22" s="19" t="s">
        <v>54</v>
      </c>
    </row>
    <row r="23" customFormat="false" ht="15" hidden="false" customHeight="false" outlineLevel="0" collapsed="false">
      <c r="A23" s="4" t="n">
        <v>20</v>
      </c>
      <c r="B23" s="19" t="s">
        <v>52</v>
      </c>
      <c r="C23" s="19" t="s">
        <v>52</v>
      </c>
      <c r="D23" s="19" t="s">
        <v>56</v>
      </c>
      <c r="E23" s="19" t="s">
        <v>56</v>
      </c>
      <c r="F23" s="19" t="s">
        <v>52</v>
      </c>
      <c r="H23" s="19" t="s">
        <v>52</v>
      </c>
      <c r="I23" s="19" t="s">
        <v>56</v>
      </c>
      <c r="J23" s="19" t="s">
        <v>56</v>
      </c>
      <c r="K23" s="19" t="s">
        <v>93</v>
      </c>
      <c r="L23" s="19" t="s">
        <v>52</v>
      </c>
      <c r="N23" s="19" t="s">
        <v>52</v>
      </c>
      <c r="O23" s="19" t="s">
        <v>56</v>
      </c>
      <c r="P23" s="19" t="s">
        <v>56</v>
      </c>
      <c r="Q23" s="19" t="s">
        <v>52</v>
      </c>
      <c r="R23" s="19" t="s">
        <v>52</v>
      </c>
      <c r="T23" s="19" t="s">
        <v>55</v>
      </c>
      <c r="U23" s="19" t="s">
        <v>57</v>
      </c>
      <c r="V23" s="19" t="s">
        <v>57</v>
      </c>
      <c r="W23" s="19" t="s">
        <v>57</v>
      </c>
      <c r="X23" s="19" t="s">
        <v>55</v>
      </c>
    </row>
    <row r="24" customFormat="false" ht="15" hidden="false" customHeight="false" outlineLevel="0" collapsed="false">
      <c r="A24" s="4" t="n">
        <v>21</v>
      </c>
      <c r="B24" s="19" t="s">
        <v>49</v>
      </c>
      <c r="C24" s="19" t="s">
        <v>93</v>
      </c>
      <c r="D24" s="19" t="s">
        <v>49</v>
      </c>
      <c r="E24" s="19" t="s">
        <v>93</v>
      </c>
      <c r="F24" s="19" t="s">
        <v>56</v>
      </c>
      <c r="H24" s="19" t="s">
        <v>49</v>
      </c>
      <c r="I24" s="19" t="s">
        <v>93</v>
      </c>
      <c r="J24" s="19" t="s">
        <v>49</v>
      </c>
      <c r="K24" s="19" t="s">
        <v>53</v>
      </c>
      <c r="L24" s="19" t="s">
        <v>49</v>
      </c>
      <c r="N24" s="19" t="s">
        <v>56</v>
      </c>
      <c r="O24" s="19" t="s">
        <v>93</v>
      </c>
      <c r="P24" s="19" t="s">
        <v>49</v>
      </c>
      <c r="Q24" s="19" t="s">
        <v>93</v>
      </c>
      <c r="R24" s="19" t="s">
        <v>56</v>
      </c>
      <c r="T24" s="19" t="s">
        <v>56</v>
      </c>
      <c r="U24" s="19" t="s">
        <v>94</v>
      </c>
      <c r="V24" s="19" t="s">
        <v>94</v>
      </c>
      <c r="W24" s="19" t="s">
        <v>94</v>
      </c>
      <c r="X24" s="19" t="s">
        <v>56</v>
      </c>
    </row>
    <row r="25" customFormat="false" ht="15" hidden="false" customHeight="false" outlineLevel="0" collapsed="false">
      <c r="A25" s="4" t="n">
        <v>22</v>
      </c>
      <c r="B25" s="19" t="s">
        <v>53</v>
      </c>
      <c r="C25" s="19" t="s">
        <v>49</v>
      </c>
      <c r="D25" s="19" t="s">
        <v>53</v>
      </c>
      <c r="E25" s="19" t="s">
        <v>49</v>
      </c>
      <c r="F25" s="19" t="s">
        <v>49</v>
      </c>
      <c r="H25" s="19" t="s">
        <v>53</v>
      </c>
      <c r="I25" s="19" t="s">
        <v>49</v>
      </c>
      <c r="J25" s="19" t="s">
        <v>53</v>
      </c>
      <c r="K25" s="19" t="s">
        <v>57</v>
      </c>
      <c r="L25" s="19" t="s">
        <v>53</v>
      </c>
      <c r="N25" s="19" t="s">
        <v>49</v>
      </c>
      <c r="O25" s="19" t="s">
        <v>49</v>
      </c>
      <c r="P25" s="19" t="s">
        <v>53</v>
      </c>
      <c r="Q25" s="19" t="s">
        <v>53</v>
      </c>
      <c r="R25" s="19" t="s">
        <v>49</v>
      </c>
      <c r="T25" s="19" t="s">
        <v>57</v>
      </c>
      <c r="U25" s="19" t="s">
        <v>58</v>
      </c>
      <c r="V25" s="19" t="s">
        <v>58</v>
      </c>
      <c r="W25" s="19" t="s">
        <v>58</v>
      </c>
      <c r="X25" s="19" t="s">
        <v>57</v>
      </c>
    </row>
    <row r="26" customFormat="false" ht="15" hidden="false" customHeight="false" outlineLevel="0" collapsed="false">
      <c r="A26" s="4" t="n">
        <v>23</v>
      </c>
      <c r="B26" s="19" t="s">
        <v>56</v>
      </c>
      <c r="C26" s="19" t="s">
        <v>53</v>
      </c>
      <c r="D26" s="19" t="s">
        <v>57</v>
      </c>
      <c r="E26" s="19" t="s">
        <v>53</v>
      </c>
      <c r="F26" s="19" t="s">
        <v>53</v>
      </c>
      <c r="H26" s="19" t="s">
        <v>56</v>
      </c>
      <c r="I26" s="19" t="s">
        <v>53</v>
      </c>
      <c r="J26" s="19" t="s">
        <v>57</v>
      </c>
      <c r="K26" s="19" t="s">
        <v>58</v>
      </c>
      <c r="L26" s="19" t="s">
        <v>56</v>
      </c>
      <c r="N26" s="19" t="s">
        <v>53</v>
      </c>
      <c r="O26" s="19" t="s">
        <v>53</v>
      </c>
      <c r="P26" s="19" t="s">
        <v>57</v>
      </c>
      <c r="Q26" s="19" t="s">
        <v>57</v>
      </c>
      <c r="R26" s="19" t="s">
        <v>53</v>
      </c>
      <c r="T26" s="19" t="s">
        <v>58</v>
      </c>
      <c r="U26" s="19" t="s">
        <v>49</v>
      </c>
      <c r="V26" s="19" t="s">
        <v>49</v>
      </c>
      <c r="W26" s="19" t="s">
        <v>49</v>
      </c>
      <c r="X26" s="19" t="s">
        <v>58</v>
      </c>
    </row>
    <row r="27" customFormat="false" ht="15" hidden="false" customHeight="false" outlineLevel="0" collapsed="false">
      <c r="A27" s="4" t="n">
        <v>24</v>
      </c>
      <c r="B27" s="19" t="s">
        <v>57</v>
      </c>
      <c r="C27" s="19" t="s">
        <v>57</v>
      </c>
      <c r="D27" s="19" t="s">
        <v>94</v>
      </c>
      <c r="E27" s="19" t="s">
        <v>57</v>
      </c>
      <c r="F27" s="19" t="s">
        <v>54</v>
      </c>
      <c r="H27" s="19" t="s">
        <v>57</v>
      </c>
      <c r="I27" s="19" t="s">
        <v>57</v>
      </c>
      <c r="J27" s="19" t="s">
        <v>94</v>
      </c>
      <c r="K27" s="19" t="s">
        <v>94</v>
      </c>
      <c r="L27" s="19" t="s">
        <v>57</v>
      </c>
      <c r="N27" s="19" t="s">
        <v>57</v>
      </c>
      <c r="O27" s="19" t="s">
        <v>57</v>
      </c>
      <c r="P27" s="19" t="s">
        <v>58</v>
      </c>
      <c r="Q27" s="19" t="s">
        <v>58</v>
      </c>
      <c r="R27" s="19" t="s">
        <v>57</v>
      </c>
      <c r="T27" s="19" t="s">
        <v>49</v>
      </c>
      <c r="U27" s="19" t="s">
        <v>50</v>
      </c>
      <c r="V27" s="19" t="s">
        <v>50</v>
      </c>
      <c r="W27" s="19" t="s">
        <v>50</v>
      </c>
      <c r="X27" s="19" t="s">
        <v>49</v>
      </c>
    </row>
    <row r="28" customFormat="false" ht="15" hidden="false" customHeight="false" outlineLevel="0" collapsed="false">
      <c r="A28" s="4" t="n">
        <v>25</v>
      </c>
      <c r="B28" s="19" t="s">
        <v>54</v>
      </c>
      <c r="C28" s="19" t="s">
        <v>58</v>
      </c>
      <c r="D28" s="19" t="s">
        <v>58</v>
      </c>
      <c r="E28" s="19" t="s">
        <v>54</v>
      </c>
      <c r="F28" s="19" t="s">
        <v>57</v>
      </c>
      <c r="H28" s="19" t="s">
        <v>54</v>
      </c>
      <c r="I28" s="19" t="s">
        <v>58</v>
      </c>
      <c r="J28" s="19" t="s">
        <v>58</v>
      </c>
      <c r="K28" s="19" t="s">
        <v>54</v>
      </c>
      <c r="L28" s="19" t="s">
        <v>54</v>
      </c>
      <c r="N28" s="19" t="s">
        <v>54</v>
      </c>
      <c r="O28" s="19" t="s">
        <v>58</v>
      </c>
      <c r="P28" s="19" t="s">
        <v>54</v>
      </c>
      <c r="Q28" s="19" t="s">
        <v>54</v>
      </c>
      <c r="R28" s="19" t="s">
        <v>58</v>
      </c>
      <c r="T28" s="19" t="s">
        <v>50</v>
      </c>
      <c r="U28" s="19" t="s">
        <v>51</v>
      </c>
      <c r="V28" s="19" t="s">
        <v>51</v>
      </c>
      <c r="W28" s="19" t="s">
        <v>51</v>
      </c>
      <c r="X28" s="19" t="s">
        <v>50</v>
      </c>
    </row>
    <row r="29" customFormat="false" ht="15" hidden="false" customHeight="false" outlineLevel="0" collapsed="false">
      <c r="A29" s="4" t="n">
        <v>26</v>
      </c>
      <c r="B29" s="19" t="s">
        <v>58</v>
      </c>
      <c r="C29" s="19" t="s">
        <v>54</v>
      </c>
      <c r="D29" s="19" t="s">
        <v>54</v>
      </c>
      <c r="E29" s="19" t="s">
        <v>58</v>
      </c>
      <c r="F29" s="19" t="s">
        <v>58</v>
      </c>
      <c r="H29" s="19" t="s">
        <v>58</v>
      </c>
      <c r="I29" s="19" t="s">
        <v>54</v>
      </c>
      <c r="J29" s="19" t="s">
        <v>54</v>
      </c>
      <c r="K29" s="19" t="s">
        <v>55</v>
      </c>
      <c r="L29" s="19" t="s">
        <v>58</v>
      </c>
      <c r="N29" s="19" t="s">
        <v>58</v>
      </c>
      <c r="O29" s="19" t="s">
        <v>54</v>
      </c>
      <c r="P29" s="19" t="s">
        <v>55</v>
      </c>
      <c r="Q29" s="19" t="s">
        <v>55</v>
      </c>
      <c r="R29" s="19" t="s">
        <v>54</v>
      </c>
      <c r="T29" s="19" t="s">
        <v>51</v>
      </c>
      <c r="U29" s="19" t="s">
        <v>52</v>
      </c>
      <c r="V29" s="19" t="s">
        <v>52</v>
      </c>
      <c r="W29" s="19" t="s">
        <v>52</v>
      </c>
      <c r="X29" s="19" t="s">
        <v>51</v>
      </c>
    </row>
    <row r="30" customFormat="false" ht="15" hidden="false" customHeight="false" outlineLevel="0" collapsed="false">
      <c r="A30" s="4" t="n">
        <v>27</v>
      </c>
      <c r="B30" s="19" t="s">
        <v>55</v>
      </c>
      <c r="C30" s="19" t="s">
        <v>55</v>
      </c>
      <c r="D30" s="19" t="s">
        <v>55</v>
      </c>
      <c r="E30" s="19" t="s">
        <v>94</v>
      </c>
      <c r="F30" s="19" t="s">
        <v>55</v>
      </c>
      <c r="H30" s="19" t="s">
        <v>55</v>
      </c>
      <c r="I30" s="19" t="s">
        <v>55</v>
      </c>
      <c r="J30" s="19" t="s">
        <v>55</v>
      </c>
      <c r="K30" s="19" t="s">
        <v>56</v>
      </c>
      <c r="L30" s="19" t="s">
        <v>55</v>
      </c>
      <c r="N30" s="19" t="s">
        <v>55</v>
      </c>
      <c r="O30" s="19" t="s">
        <v>55</v>
      </c>
      <c r="P30" s="19" t="s">
        <v>94</v>
      </c>
      <c r="Q30" s="19" t="s">
        <v>56</v>
      </c>
      <c r="R30" s="19" t="s">
        <v>55</v>
      </c>
      <c r="T30" s="19" t="s">
        <v>52</v>
      </c>
      <c r="U30" s="19" t="s">
        <v>53</v>
      </c>
      <c r="V30" s="19" t="s">
        <v>53</v>
      </c>
      <c r="W30" s="19" t="s">
        <v>53</v>
      </c>
      <c r="X30" s="19" t="s">
        <v>52</v>
      </c>
    </row>
    <row r="31" customFormat="false" ht="15" hidden="false" customHeight="false" outlineLevel="0" collapsed="false">
      <c r="A31" s="4" t="n">
        <v>28</v>
      </c>
      <c r="B31" s="19" t="s">
        <v>50</v>
      </c>
      <c r="C31" s="19" t="s">
        <v>56</v>
      </c>
      <c r="D31" s="19" t="s">
        <v>94</v>
      </c>
      <c r="E31" s="19" t="s">
        <v>55</v>
      </c>
      <c r="F31" s="19" t="s">
        <v>56</v>
      </c>
      <c r="H31" s="19" t="s">
        <v>50</v>
      </c>
      <c r="I31" s="19" t="s">
        <v>94</v>
      </c>
      <c r="J31" s="19" t="s">
        <v>94</v>
      </c>
      <c r="K31" s="19" t="s">
        <v>57</v>
      </c>
      <c r="L31" s="19" t="s">
        <v>50</v>
      </c>
      <c r="N31" s="19" t="s">
        <v>56</v>
      </c>
      <c r="O31" s="19" t="s">
        <v>94</v>
      </c>
      <c r="P31" s="19" t="s">
        <v>56</v>
      </c>
      <c r="Q31" s="19" t="s">
        <v>94</v>
      </c>
      <c r="R31" s="19" t="s">
        <v>56</v>
      </c>
      <c r="T31" s="19" t="s">
        <v>53</v>
      </c>
      <c r="U31" s="19" t="s">
        <v>94</v>
      </c>
      <c r="V31" s="19" t="s">
        <v>94</v>
      </c>
      <c r="W31" s="19" t="s">
        <v>94</v>
      </c>
      <c r="X31" s="19" t="s">
        <v>53</v>
      </c>
    </row>
    <row r="32" customFormat="false" ht="15" hidden="false" customHeight="false" outlineLevel="0" collapsed="false">
      <c r="A32" s="4" t="n">
        <v>29</v>
      </c>
      <c r="B32" s="19" t="s">
        <v>56</v>
      </c>
      <c r="C32" s="19" t="s">
        <v>94</v>
      </c>
      <c r="D32" s="19" t="s">
        <v>56</v>
      </c>
      <c r="E32" s="19" t="s">
        <v>56</v>
      </c>
      <c r="F32" s="19" t="s">
        <v>50</v>
      </c>
      <c r="H32" s="19" t="s">
        <v>56</v>
      </c>
      <c r="I32" s="19" t="s">
        <v>56</v>
      </c>
      <c r="J32" s="19" t="s">
        <v>56</v>
      </c>
      <c r="K32" s="19" t="s">
        <v>58</v>
      </c>
      <c r="L32" s="19" t="s">
        <v>56</v>
      </c>
      <c r="N32" s="19" t="s">
        <v>50</v>
      </c>
      <c r="O32" s="19" t="s">
        <v>56</v>
      </c>
      <c r="P32" s="19" t="s">
        <v>57</v>
      </c>
      <c r="Q32" s="19" t="s">
        <v>57</v>
      </c>
      <c r="R32" s="19" t="s">
        <v>50</v>
      </c>
      <c r="T32" s="19" t="s">
        <v>54</v>
      </c>
      <c r="U32" s="19" t="s">
        <v>54</v>
      </c>
      <c r="V32" s="19" t="s">
        <v>54</v>
      </c>
      <c r="W32" s="19" t="s">
        <v>54</v>
      </c>
      <c r="X32" s="19" t="s">
        <v>54</v>
      </c>
    </row>
    <row r="33" customFormat="false" ht="15" hidden="false" customHeight="false" outlineLevel="0" collapsed="false">
      <c r="A33" s="4" t="n">
        <v>30</v>
      </c>
      <c r="B33" s="19" t="s">
        <v>57</v>
      </c>
      <c r="C33" s="19" t="s">
        <v>50</v>
      </c>
      <c r="D33" s="19" t="s">
        <v>57</v>
      </c>
      <c r="E33" s="19" t="s">
        <v>57</v>
      </c>
      <c r="F33" s="19" t="s">
        <v>51</v>
      </c>
      <c r="H33" s="19" t="s">
        <v>57</v>
      </c>
      <c r="I33" s="19" t="s">
        <v>57</v>
      </c>
      <c r="J33" s="19" t="s">
        <v>57</v>
      </c>
      <c r="K33" s="19" t="s">
        <v>49</v>
      </c>
      <c r="L33" s="19" t="s">
        <v>57</v>
      </c>
      <c r="N33" s="19" t="s">
        <v>57</v>
      </c>
      <c r="O33" s="19" t="s">
        <v>57</v>
      </c>
      <c r="P33" s="19" t="s">
        <v>50</v>
      </c>
      <c r="Q33" s="19" t="s">
        <v>49</v>
      </c>
      <c r="R33" s="19" t="s">
        <v>57</v>
      </c>
      <c r="T33" s="19" t="s">
        <v>55</v>
      </c>
      <c r="U33" s="19" t="s">
        <v>55</v>
      </c>
      <c r="V33" s="19" t="s">
        <v>55</v>
      </c>
      <c r="W33" s="19" t="s">
        <v>55</v>
      </c>
      <c r="X33" s="19" t="s">
        <v>55</v>
      </c>
    </row>
    <row r="34" customFormat="false" ht="15" hidden="false" customHeight="false" outlineLevel="0" collapsed="false">
      <c r="A34" s="4" t="n">
        <v>31</v>
      </c>
      <c r="B34" s="19" t="s">
        <v>51</v>
      </c>
      <c r="C34" s="19" t="s">
        <v>57</v>
      </c>
      <c r="D34" s="19" t="s">
        <v>50</v>
      </c>
      <c r="E34" s="19" t="s">
        <v>50</v>
      </c>
      <c r="F34" s="19" t="s">
        <v>57</v>
      </c>
      <c r="H34" s="19" t="s">
        <v>51</v>
      </c>
      <c r="I34" s="19" t="s">
        <v>50</v>
      </c>
      <c r="J34" s="19" t="s">
        <v>50</v>
      </c>
      <c r="K34" s="19" t="s">
        <v>50</v>
      </c>
      <c r="L34" s="19" t="s">
        <v>51</v>
      </c>
      <c r="N34" s="19" t="s">
        <v>58</v>
      </c>
      <c r="O34" s="19" t="s">
        <v>50</v>
      </c>
      <c r="P34" s="19" t="s">
        <v>58</v>
      </c>
      <c r="Q34" s="19" t="s">
        <v>50</v>
      </c>
      <c r="R34" s="19" t="s">
        <v>51</v>
      </c>
      <c r="T34" s="19" t="s">
        <v>56</v>
      </c>
      <c r="U34" s="19" t="s">
        <v>56</v>
      </c>
      <c r="V34" s="19" t="s">
        <v>56</v>
      </c>
      <c r="W34" s="19" t="s">
        <v>56</v>
      </c>
      <c r="X34" s="19" t="s">
        <v>56</v>
      </c>
    </row>
    <row r="35" customFormat="false" ht="15" hidden="false" customHeight="false" outlineLevel="0" collapsed="false">
      <c r="A35" s="4" t="n">
        <v>32</v>
      </c>
      <c r="B35" s="19" t="s">
        <v>58</v>
      </c>
      <c r="C35" s="19" t="s">
        <v>58</v>
      </c>
      <c r="D35" s="19" t="s">
        <v>58</v>
      </c>
      <c r="E35" s="19" t="s">
        <v>58</v>
      </c>
      <c r="F35" s="19" t="s">
        <v>58</v>
      </c>
      <c r="H35" s="19" t="s">
        <v>58</v>
      </c>
      <c r="I35" s="19" t="s">
        <v>58</v>
      </c>
      <c r="J35" s="19" t="s">
        <v>58</v>
      </c>
      <c r="K35" s="19" t="s">
        <v>51</v>
      </c>
      <c r="L35" s="19" t="s">
        <v>58</v>
      </c>
      <c r="N35" s="19" t="s">
        <v>51</v>
      </c>
      <c r="O35" s="19" t="s">
        <v>58</v>
      </c>
      <c r="P35" s="19" t="s">
        <v>51</v>
      </c>
      <c r="Q35" s="19" t="s">
        <v>58</v>
      </c>
      <c r="R35" s="19" t="s">
        <v>58</v>
      </c>
      <c r="T35" s="19" t="s">
        <v>57</v>
      </c>
      <c r="U35" s="19" t="s">
        <v>57</v>
      </c>
      <c r="V35" s="19" t="s">
        <v>57</v>
      </c>
      <c r="W35" s="19" t="s">
        <v>57</v>
      </c>
      <c r="X35" s="19" t="s">
        <v>57</v>
      </c>
    </row>
    <row r="36" customFormat="false" ht="15" hidden="false" customHeight="false" outlineLevel="0" collapsed="false">
      <c r="A36" s="4" t="n">
        <v>33</v>
      </c>
      <c r="B36" s="19" t="s">
        <v>52</v>
      </c>
      <c r="C36" s="19" t="s">
        <v>51</v>
      </c>
      <c r="D36" s="19" t="s">
        <v>51</v>
      </c>
      <c r="E36" s="19" t="s">
        <v>51</v>
      </c>
      <c r="F36" s="19" t="s">
        <v>52</v>
      </c>
      <c r="H36" s="19" t="s">
        <v>52</v>
      </c>
      <c r="I36" s="19" t="s">
        <v>51</v>
      </c>
      <c r="J36" s="19" t="s">
        <v>51</v>
      </c>
      <c r="K36" s="19" t="s">
        <v>94</v>
      </c>
      <c r="L36" s="19" t="s">
        <v>52</v>
      </c>
      <c r="N36" s="19" t="s">
        <v>52</v>
      </c>
      <c r="O36" s="19" t="s">
        <v>51</v>
      </c>
      <c r="P36" s="19" t="s">
        <v>52</v>
      </c>
      <c r="Q36" s="19" t="s">
        <v>51</v>
      </c>
      <c r="R36" s="19" t="s">
        <v>52</v>
      </c>
      <c r="T36" s="19" t="s">
        <v>58</v>
      </c>
      <c r="U36" s="19" t="s">
        <v>58</v>
      </c>
      <c r="V36" s="19" t="s">
        <v>58</v>
      </c>
      <c r="W36" s="19" t="s">
        <v>58</v>
      </c>
      <c r="X36" s="19" t="s">
        <v>58</v>
      </c>
    </row>
    <row r="37" customFormat="false" ht="15" hidden="false" customHeight="false" outlineLevel="0" collapsed="false">
      <c r="A37" s="4" t="n">
        <v>34</v>
      </c>
      <c r="B37" s="19" t="s">
        <v>53</v>
      </c>
      <c r="C37" s="19" t="s">
        <v>52</v>
      </c>
      <c r="D37" s="19" t="s">
        <v>52</v>
      </c>
      <c r="E37" s="19" t="s">
        <v>52</v>
      </c>
      <c r="F37" s="19" t="s">
        <v>53</v>
      </c>
      <c r="H37" s="19" t="s">
        <v>53</v>
      </c>
      <c r="I37" s="19" t="s">
        <v>52</v>
      </c>
      <c r="J37" s="19" t="s">
        <v>52</v>
      </c>
      <c r="K37" s="19" t="s">
        <v>52</v>
      </c>
      <c r="L37" s="19" t="s">
        <v>53</v>
      </c>
      <c r="N37" s="19" t="s">
        <v>53</v>
      </c>
      <c r="O37" s="19" t="s">
        <v>52</v>
      </c>
      <c r="P37" s="19" t="s">
        <v>53</v>
      </c>
      <c r="Q37" s="19" t="s">
        <v>52</v>
      </c>
      <c r="R37" s="19" t="s">
        <v>53</v>
      </c>
    </row>
    <row r="38" customFormat="false" ht="15" hidden="false" customHeight="false" outlineLevel="0" collapsed="false">
      <c r="A38" s="4" t="n">
        <v>35</v>
      </c>
      <c r="B38" s="19" t="s">
        <v>54</v>
      </c>
      <c r="C38" s="19" t="s">
        <v>53</v>
      </c>
      <c r="D38" s="19" t="s">
        <v>53</v>
      </c>
      <c r="E38" s="19" t="s">
        <v>53</v>
      </c>
      <c r="F38" s="19" t="s">
        <v>54</v>
      </c>
      <c r="H38" s="19" t="s">
        <v>54</v>
      </c>
      <c r="I38" s="19" t="s">
        <v>53</v>
      </c>
      <c r="J38" s="19" t="s">
        <v>53</v>
      </c>
      <c r="K38" s="19" t="s">
        <v>53</v>
      </c>
      <c r="L38" s="19" t="s">
        <v>54</v>
      </c>
      <c r="N38" s="19" t="s">
        <v>54</v>
      </c>
      <c r="O38" s="19" t="s">
        <v>53</v>
      </c>
      <c r="P38" s="19" t="s">
        <v>94</v>
      </c>
      <c r="Q38" s="19" t="s">
        <v>53</v>
      </c>
      <c r="R38" s="19" t="s">
        <v>54</v>
      </c>
    </row>
    <row r="39" customFormat="false" ht="15" hidden="false" customHeight="false" outlineLevel="0" collapsed="false">
      <c r="A39" s="4" t="n">
        <v>36</v>
      </c>
      <c r="B39" s="19" t="s">
        <v>55</v>
      </c>
      <c r="C39" s="19" t="s">
        <v>94</v>
      </c>
      <c r="D39" s="19" t="s">
        <v>94</v>
      </c>
      <c r="E39" s="19" t="s">
        <v>94</v>
      </c>
      <c r="F39" s="19" t="s">
        <v>55</v>
      </c>
      <c r="H39" s="19" t="s">
        <v>55</v>
      </c>
      <c r="I39" s="19" t="s">
        <v>94</v>
      </c>
      <c r="J39" s="19" t="s">
        <v>94</v>
      </c>
      <c r="K39" s="19" t="s">
        <v>54</v>
      </c>
      <c r="L39" s="19" t="s">
        <v>55</v>
      </c>
      <c r="N39" s="19" t="s">
        <v>55</v>
      </c>
      <c r="O39" s="19" t="s">
        <v>94</v>
      </c>
      <c r="P39" s="19" t="s">
        <v>54</v>
      </c>
      <c r="Q39" s="19" t="s">
        <v>94</v>
      </c>
      <c r="R39" s="19" t="s">
        <v>55</v>
      </c>
    </row>
    <row r="40" customFormat="false" ht="15" hidden="false" customHeight="false" outlineLevel="0" collapsed="false">
      <c r="A40" s="4" t="n">
        <v>37</v>
      </c>
      <c r="B40" s="19" t="s">
        <v>56</v>
      </c>
      <c r="C40" s="19" t="s">
        <v>54</v>
      </c>
      <c r="D40" s="19" t="s">
        <v>54</v>
      </c>
      <c r="E40" s="19" t="s">
        <v>54</v>
      </c>
      <c r="F40" s="19" t="s">
        <v>56</v>
      </c>
      <c r="H40" s="19" t="s">
        <v>56</v>
      </c>
      <c r="I40" s="19" t="s">
        <v>54</v>
      </c>
      <c r="J40" s="19" t="s">
        <v>54</v>
      </c>
      <c r="K40" s="19" t="s">
        <v>55</v>
      </c>
      <c r="L40" s="19" t="s">
        <v>56</v>
      </c>
      <c r="N40" s="19" t="s">
        <v>56</v>
      </c>
      <c r="O40" s="19" t="s">
        <v>54</v>
      </c>
      <c r="P40" s="19" t="s">
        <v>55</v>
      </c>
      <c r="Q40" s="19" t="s">
        <v>54</v>
      </c>
      <c r="R40" s="19" t="s">
        <v>56</v>
      </c>
    </row>
    <row r="41" customFormat="false" ht="15" hidden="false" customHeight="false" outlineLevel="0" collapsed="false">
      <c r="A41" s="4" t="n">
        <v>38</v>
      </c>
      <c r="B41" s="19" t="s">
        <v>57</v>
      </c>
      <c r="C41" s="19" t="s">
        <v>55</v>
      </c>
      <c r="D41" s="19" t="s">
        <v>55</v>
      </c>
      <c r="E41" s="19" t="s">
        <v>55</v>
      </c>
      <c r="F41" s="19" t="s">
        <v>57</v>
      </c>
      <c r="H41" s="19" t="s">
        <v>57</v>
      </c>
      <c r="I41" s="19" t="s">
        <v>55</v>
      </c>
      <c r="J41" s="19" t="s">
        <v>55</v>
      </c>
      <c r="K41" s="19" t="s">
        <v>56</v>
      </c>
      <c r="L41" s="19" t="s">
        <v>57</v>
      </c>
      <c r="N41" s="19" t="s">
        <v>57</v>
      </c>
      <c r="O41" s="19" t="s">
        <v>55</v>
      </c>
      <c r="P41" s="19" t="s">
        <v>56</v>
      </c>
      <c r="Q41" s="19" t="s">
        <v>55</v>
      </c>
      <c r="R41" s="19" t="s">
        <v>57</v>
      </c>
    </row>
    <row r="42" customFormat="false" ht="15" hidden="false" customHeight="false" outlineLevel="0" collapsed="false">
      <c r="A42" s="4" t="n">
        <v>39</v>
      </c>
      <c r="B42" s="19" t="s">
        <v>58</v>
      </c>
      <c r="C42" s="19" t="s">
        <v>56</v>
      </c>
      <c r="D42" s="19" t="s">
        <v>56</v>
      </c>
      <c r="E42" s="19" t="s">
        <v>56</v>
      </c>
      <c r="F42" s="19" t="s">
        <v>58</v>
      </c>
      <c r="H42" s="19" t="s">
        <v>58</v>
      </c>
      <c r="I42" s="19" t="s">
        <v>56</v>
      </c>
      <c r="J42" s="19" t="s">
        <v>56</v>
      </c>
      <c r="K42" s="19" t="s">
        <v>57</v>
      </c>
      <c r="L42" s="19" t="s">
        <v>58</v>
      </c>
      <c r="N42" s="19" t="s">
        <v>58</v>
      </c>
      <c r="O42" s="19" t="s">
        <v>56</v>
      </c>
      <c r="P42" s="19" t="s">
        <v>57</v>
      </c>
      <c r="Q42" s="19" t="s">
        <v>56</v>
      </c>
      <c r="R42" s="19" t="s">
        <v>58</v>
      </c>
    </row>
    <row r="43" customFormat="false" ht="15" hidden="false" customHeight="false" outlineLevel="0" collapsed="false">
      <c r="A43" s="4" t="n">
        <v>40</v>
      </c>
      <c r="C43" s="19" t="s">
        <v>57</v>
      </c>
      <c r="D43" s="19" t="s">
        <v>57</v>
      </c>
      <c r="E43" s="19" t="s">
        <v>57</v>
      </c>
      <c r="I43" s="19" t="s">
        <v>57</v>
      </c>
      <c r="J43" s="19" t="s">
        <v>57</v>
      </c>
      <c r="K43" s="19" t="s">
        <v>58</v>
      </c>
      <c r="O43" s="19" t="s">
        <v>57</v>
      </c>
      <c r="P43" s="19" t="s">
        <v>58</v>
      </c>
      <c r="Q43" s="19" t="s">
        <v>57</v>
      </c>
    </row>
    <row r="44" customFormat="false" ht="15" hidden="false" customHeight="false" outlineLevel="0" collapsed="false">
      <c r="A44" s="4" t="n">
        <v>41</v>
      </c>
      <c r="C44" s="19" t="s">
        <v>58</v>
      </c>
      <c r="D44" s="19" t="s">
        <v>58</v>
      </c>
      <c r="E44" s="19" t="s">
        <v>58</v>
      </c>
      <c r="I44" s="19" t="s">
        <v>58</v>
      </c>
      <c r="J44" s="19" t="s">
        <v>58</v>
      </c>
      <c r="O44" s="19" t="s">
        <v>58</v>
      </c>
      <c r="Q44" s="19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3"/>
    <col collapsed="false" customWidth="true" hidden="false" outlineLevel="0" max="4" min="4" style="0" width="17"/>
    <col collapsed="false" customWidth="true" hidden="false" outlineLevel="0" max="13" min="5" style="0" width="13"/>
    <col collapsed="false" customWidth="true" hidden="false" outlineLevel="0" max="15" min="15" style="0" width="40"/>
    <col collapsed="false" customWidth="true" hidden="false" outlineLevel="0" max="19" min="16" style="0" width="18"/>
  </cols>
  <sheetData>
    <row r="1" customFormat="false" ht="17.35" hidden="false" customHeight="false" outlineLevel="0" collapsed="false">
      <c r="A1" s="1" t="s">
        <v>95</v>
      </c>
    </row>
    <row r="2" customFormat="false" ht="15" hidden="false" customHeight="false" outlineLevel="0" collapsed="false">
      <c r="A2" s="2" t="s">
        <v>96</v>
      </c>
    </row>
    <row r="4" customFormat="false" ht="15" hidden="false" customHeight="false" outlineLevel="0" collapsed="false">
      <c r="A4" s="20" t="s">
        <v>97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O4" s="20" t="s">
        <v>98</v>
      </c>
      <c r="P4" s="21"/>
      <c r="Q4" s="21"/>
    </row>
    <row r="5" customFormat="false" ht="15" hidden="false" customHeight="false" outlineLevel="0" collapsed="false">
      <c r="A5" s="3" t="s">
        <v>44</v>
      </c>
      <c r="B5" s="3" t="s">
        <v>99</v>
      </c>
      <c r="C5" s="3" t="s">
        <v>100</v>
      </c>
      <c r="D5" s="3" t="s">
        <v>101</v>
      </c>
      <c r="E5" s="3" t="s">
        <v>102</v>
      </c>
      <c r="F5" s="3" t="s">
        <v>103</v>
      </c>
      <c r="G5" s="3"/>
      <c r="H5" s="3" t="s">
        <v>104</v>
      </c>
      <c r="I5" s="3" t="s">
        <v>105</v>
      </c>
      <c r="J5" s="3" t="s">
        <v>106</v>
      </c>
      <c r="K5" s="3" t="s">
        <v>107</v>
      </c>
      <c r="L5" s="3" t="s">
        <v>108</v>
      </c>
      <c r="O5" s="3" t="s">
        <v>109</v>
      </c>
      <c r="P5" s="3" t="s">
        <v>110</v>
      </c>
      <c r="Q5" s="3" t="s">
        <v>111</v>
      </c>
    </row>
    <row r="6" customFormat="false" ht="15" hidden="false" customHeight="false" outlineLevel="0" collapsed="false">
      <c r="A6" s="4" t="s">
        <v>94</v>
      </c>
      <c r="B6" s="22" t="n">
        <f aca="false">COUNTIF(Strips!$B$3:$B$62,$A6)</f>
        <v>0</v>
      </c>
      <c r="C6" s="22" t="n">
        <f aca="false">COUNTIF(Strips!$C$3:$C$62,$A6)</f>
        <v>5</v>
      </c>
      <c r="D6" s="22" t="n">
        <f aca="false">COUNTIF(Strips!$D$3:$D$62,$A6)</f>
        <v>6</v>
      </c>
      <c r="E6" s="22" t="n">
        <f aca="false">COUNTIF(Strips!$E$3:$E$62,$A6)</f>
        <v>5</v>
      </c>
      <c r="F6" s="22" t="n">
        <f aca="false">COUNTIF(Strips!$F$3:$F$62,$A6)</f>
        <v>0</v>
      </c>
      <c r="H6" s="22" t="n">
        <f aca="false">COUNTIF(Strips!$T$3:$T$62,$A6)</f>
        <v>0</v>
      </c>
      <c r="I6" s="22" t="n">
        <f aca="false">COUNTIF(Strips!$U$3:$U$62,$A6)</f>
        <v>5</v>
      </c>
      <c r="J6" s="22" t="n">
        <f aca="false">COUNTIF(Strips!$V$3:$V$62,$A6)</f>
        <v>5</v>
      </c>
      <c r="K6" s="22" t="n">
        <f aca="false">COUNTIF(Strips!$W$3:$W$62,$A6)</f>
        <v>5</v>
      </c>
      <c r="L6" s="22" t="n">
        <f aca="false">COUNTIF(Strips!$X$3:$X$62,$A6)</f>
        <v>0</v>
      </c>
      <c r="O6" s="4" t="s">
        <v>112</v>
      </c>
      <c r="P6" s="23" t="n">
        <f aca="false">G54</f>
        <v>0.65948888483965</v>
      </c>
      <c r="Q6" s="6" t="n">
        <v>0.65948888483965</v>
      </c>
    </row>
    <row r="7" customFormat="false" ht="15" hidden="false" customHeight="false" outlineLevel="0" collapsed="false">
      <c r="A7" s="4" t="s">
        <v>93</v>
      </c>
      <c r="B7" s="22" t="n">
        <f aca="false">COUNTIF(Strips!$B$3:$B$62,$A7)</f>
        <v>1</v>
      </c>
      <c r="C7" s="22" t="n">
        <f aca="false">COUNTIF(Strips!$C$3:$C$62,$A7)</f>
        <v>2</v>
      </c>
      <c r="D7" s="22" t="n">
        <f aca="false">COUNTIF(Strips!$D$3:$D$62,$A7)</f>
        <v>1</v>
      </c>
      <c r="E7" s="22" t="n">
        <f aca="false">COUNTIF(Strips!$E$3:$E$62,$A7)</f>
        <v>2</v>
      </c>
      <c r="F7" s="22" t="n">
        <f aca="false">COUNTIF(Strips!$F$3:$F$62,$A7)</f>
        <v>1</v>
      </c>
      <c r="H7" s="22" t="n">
        <f aca="false">COUNTIF(Strips!$T$3:$T$62,$A7)</f>
        <v>1</v>
      </c>
      <c r="I7" s="22" t="n">
        <f aca="false">COUNTIF(Strips!$U$3:$U$62,$A7)</f>
        <v>1</v>
      </c>
      <c r="J7" s="22" t="n">
        <f aca="false">COUNTIF(Strips!$V$3:$V$62,$A7)</f>
        <v>1</v>
      </c>
      <c r="K7" s="22" t="n">
        <f aca="false">COUNTIF(Strips!$W$3:$W$62,$A7)</f>
        <v>1</v>
      </c>
      <c r="L7" s="22" t="n">
        <f aca="false">COUNTIF(Strips!$X$3:$X$62,$A7)</f>
        <v>1</v>
      </c>
      <c r="O7" s="4" t="s">
        <v>113</v>
      </c>
      <c r="P7" s="23" t="n">
        <f aca="false">$E$102</f>
        <v>0.0206486880466472</v>
      </c>
      <c r="Q7" s="6" t="n">
        <v>0.0206486880466472</v>
      </c>
    </row>
    <row r="8" customFormat="false" ht="15" hidden="false" customHeight="false" outlineLevel="0" collapsed="false">
      <c r="A8" s="4" t="s">
        <v>49</v>
      </c>
      <c r="B8" s="22" t="n">
        <f aca="false">COUNTIF(Strips!$B$3:$B$62,$A8)</f>
        <v>1</v>
      </c>
      <c r="C8" s="22" t="n">
        <f aca="false">COUNTIF(Strips!$C$3:$C$62,$A8)</f>
        <v>1</v>
      </c>
      <c r="D8" s="22" t="n">
        <f aca="false">COUNTIF(Strips!$D$3:$D$62,$A8)</f>
        <v>1</v>
      </c>
      <c r="E8" s="22" t="n">
        <f aca="false">COUNTIF(Strips!$E$3:$E$62,$A8)</f>
        <v>1</v>
      </c>
      <c r="F8" s="22" t="n">
        <f aca="false">COUNTIF(Strips!$F$3:$F$62,$A8)</f>
        <v>1</v>
      </c>
      <c r="H8" s="22" t="n">
        <f aca="false">COUNTIF(Strips!$T$3:$T$62,$A8)</f>
        <v>2</v>
      </c>
      <c r="I8" s="22" t="n">
        <f aca="false">COUNTIF(Strips!$U$3:$U$62,$A8)</f>
        <v>2</v>
      </c>
      <c r="J8" s="22" t="n">
        <f aca="false">COUNTIF(Strips!$V$3:$V$62,$A8)</f>
        <v>2</v>
      </c>
      <c r="K8" s="22" t="n">
        <f aca="false">COUNTIF(Strips!$W$3:$W$62,$A8)</f>
        <v>2</v>
      </c>
      <c r="L8" s="22" t="n">
        <f aca="false">COUNTIF(Strips!$X$3:$X$62,$A8)</f>
        <v>2</v>
      </c>
      <c r="O8" s="4" t="s">
        <v>9</v>
      </c>
      <c r="P8" s="23" t="n">
        <f aca="false">P6+P7</f>
        <v>0.680137572886297</v>
      </c>
    </row>
    <row r="9" customFormat="false" ht="15" hidden="false" customHeight="false" outlineLevel="0" collapsed="false">
      <c r="A9" s="4" t="s">
        <v>50</v>
      </c>
      <c r="B9" s="22" t="n">
        <f aca="false">COUNTIF(Strips!$B$3:$B$62,$A9)</f>
        <v>2</v>
      </c>
      <c r="C9" s="22" t="n">
        <f aca="false">COUNTIF(Strips!$C$3:$C$62,$A9)</f>
        <v>2</v>
      </c>
      <c r="D9" s="22" t="n">
        <f aca="false">COUNTIF(Strips!$D$3:$D$62,$A9)</f>
        <v>2</v>
      </c>
      <c r="E9" s="22" t="n">
        <f aca="false">COUNTIF(Strips!$E$3:$E$62,$A9)</f>
        <v>2</v>
      </c>
      <c r="F9" s="22" t="n">
        <f aca="false">COUNTIF(Strips!$F$3:$F$62,$A9)</f>
        <v>2</v>
      </c>
      <c r="H9" s="22" t="n">
        <f aca="false">COUNTIF(Strips!$T$3:$T$62,$A9)</f>
        <v>2</v>
      </c>
      <c r="I9" s="22" t="n">
        <f aca="false">COUNTIF(Strips!$U$3:$U$62,$A9)</f>
        <v>2</v>
      </c>
      <c r="J9" s="22" t="n">
        <f aca="false">COUNTIF(Strips!$V$3:$V$62,$A9)</f>
        <v>2</v>
      </c>
      <c r="K9" s="22" t="n">
        <f aca="false">COUNTIF(Strips!$W$3:$W$62,$A9)</f>
        <v>2</v>
      </c>
      <c r="L9" s="22" t="n">
        <f aca="false">COUNTIF(Strips!$X$3:$X$62,$A9)</f>
        <v>2</v>
      </c>
      <c r="O9" s="4" t="s">
        <v>114</v>
      </c>
      <c r="P9" s="24" t="n">
        <f aca="false">$E$103</f>
        <v>0.00829354956268222</v>
      </c>
      <c r="Q9" s="25" t="n">
        <v>0.00829354956268222</v>
      </c>
    </row>
    <row r="10" customFormat="false" ht="15" hidden="false" customHeight="false" outlineLevel="0" collapsed="false">
      <c r="A10" s="4" t="s">
        <v>51</v>
      </c>
      <c r="B10" s="22" t="n">
        <f aca="false">COUNTIF(Strips!$B$3:$B$62,$A10)</f>
        <v>2</v>
      </c>
      <c r="C10" s="22" t="n">
        <f aca="false">COUNTIF(Strips!$C$3:$C$62,$A10)</f>
        <v>2</v>
      </c>
      <c r="D10" s="22" t="n">
        <f aca="false">COUNTIF(Strips!$D$3:$D$62,$A10)</f>
        <v>2</v>
      </c>
      <c r="E10" s="22" t="n">
        <f aca="false">COUNTIF(Strips!$E$3:$E$62,$A10)</f>
        <v>2</v>
      </c>
      <c r="F10" s="22" t="n">
        <f aca="false">COUNTIF(Strips!$F$3:$F$62,$A10)</f>
        <v>2</v>
      </c>
      <c r="H10" s="22" t="n">
        <f aca="false">COUNTIF(Strips!$T$3:$T$62,$A10)</f>
        <v>3</v>
      </c>
      <c r="I10" s="22" t="n">
        <f aca="false">COUNTIF(Strips!$U$3:$U$62,$A10)</f>
        <v>2</v>
      </c>
      <c r="J10" s="22" t="n">
        <f aca="false">COUNTIF(Strips!$V$3:$V$62,$A10)</f>
        <v>2</v>
      </c>
      <c r="K10" s="22" t="n">
        <f aca="false">COUNTIF(Strips!$W$3:$W$62,$A10)</f>
        <v>2</v>
      </c>
      <c r="L10" s="22" t="n">
        <f aca="false">COUNTIF(Strips!$X$3:$X$62,$A10)</f>
        <v>3</v>
      </c>
      <c r="O10" s="4" t="s">
        <v>115</v>
      </c>
      <c r="P10" s="23" t="n">
        <f aca="false">G90</f>
        <v>1.04272168781786</v>
      </c>
      <c r="Q10" s="6" t="n">
        <v>1.04272168781786</v>
      </c>
    </row>
    <row r="11" customFormat="false" ht="15" hidden="false" customHeight="false" outlineLevel="0" collapsed="false">
      <c r="A11" s="4" t="s">
        <v>52</v>
      </c>
      <c r="B11" s="22" t="n">
        <f aca="false">COUNTIF(Strips!$B$3:$B$62,$A11)</f>
        <v>3</v>
      </c>
      <c r="C11" s="22" t="n">
        <f aca="false">COUNTIF(Strips!$C$3:$C$62,$A11)</f>
        <v>3</v>
      </c>
      <c r="D11" s="22" t="n">
        <f aca="false">COUNTIF(Strips!$D$3:$D$62,$A11)</f>
        <v>3</v>
      </c>
      <c r="E11" s="22" t="n">
        <f aca="false">COUNTIF(Strips!$E$3:$E$62,$A11)</f>
        <v>3</v>
      </c>
      <c r="F11" s="22" t="n">
        <f aca="false">COUNTIF(Strips!$F$3:$F$62,$A11)</f>
        <v>3</v>
      </c>
      <c r="H11" s="22" t="n">
        <f aca="false">COUNTIF(Strips!$T$3:$T$62,$A11)</f>
        <v>3</v>
      </c>
      <c r="I11" s="22" t="n">
        <f aca="false">COUNTIF(Strips!$U$3:$U$62,$A11)</f>
        <v>3</v>
      </c>
      <c r="J11" s="22" t="n">
        <f aca="false">COUNTIF(Strips!$V$3:$V$62,$A11)</f>
        <v>3</v>
      </c>
      <c r="K11" s="22" t="n">
        <f aca="false">COUNTIF(Strips!$W$3:$W$62,$A11)</f>
        <v>3</v>
      </c>
      <c r="L11" s="22" t="n">
        <f aca="false">COUNTIF(Strips!$X$3:$X$62,$A11)</f>
        <v>3</v>
      </c>
      <c r="O11" s="4" t="s">
        <v>116</v>
      </c>
      <c r="P11" s="23" t="n">
        <f aca="false">$E$115</f>
        <v>0.0147195721118394</v>
      </c>
      <c r="Q11" s="6" t="n">
        <v>0.0147195721118394</v>
      </c>
    </row>
    <row r="12" customFormat="false" ht="15" hidden="false" customHeight="false" outlineLevel="0" collapsed="false">
      <c r="A12" s="4" t="s">
        <v>53</v>
      </c>
      <c r="B12" s="22" t="n">
        <f aca="false">COUNTIF(Strips!$B$3:$B$62,$A12)</f>
        <v>3</v>
      </c>
      <c r="C12" s="22" t="n">
        <f aca="false">COUNTIF(Strips!$C$3:$C$62,$A12)</f>
        <v>3</v>
      </c>
      <c r="D12" s="22" t="n">
        <f aca="false">COUNTIF(Strips!$D$3:$D$62,$A12)</f>
        <v>3</v>
      </c>
      <c r="E12" s="22" t="n">
        <f aca="false">COUNTIF(Strips!$E$3:$E$62,$A12)</f>
        <v>3</v>
      </c>
      <c r="F12" s="22" t="n">
        <f aca="false">COUNTIF(Strips!$F$3:$F$62,$A12)</f>
        <v>3</v>
      </c>
      <c r="H12" s="22" t="n">
        <f aca="false">COUNTIF(Strips!$T$3:$T$62,$A12)</f>
        <v>3</v>
      </c>
      <c r="I12" s="22" t="n">
        <f aca="false">COUNTIF(Strips!$U$3:$U$62,$A12)</f>
        <v>3</v>
      </c>
      <c r="J12" s="22" t="n">
        <f aca="false">COUNTIF(Strips!$V$3:$V$62,$A12)</f>
        <v>3</v>
      </c>
      <c r="K12" s="22" t="n">
        <f aca="false">COUNTIF(Strips!$W$3:$W$62,$A12)</f>
        <v>3</v>
      </c>
      <c r="L12" s="22" t="n">
        <f aca="false">COUNTIF(Strips!$X$3:$X$62,$A12)</f>
        <v>3</v>
      </c>
      <c r="O12" s="4" t="s">
        <v>117</v>
      </c>
      <c r="P12" s="24" t="n">
        <f aca="false">$E$116</f>
        <v>0.00599241684197775</v>
      </c>
      <c r="Q12" s="25" t="n">
        <v>0.00599241684197775</v>
      </c>
    </row>
    <row r="13" customFormat="false" ht="15" hidden="false" customHeight="false" outlineLevel="0" collapsed="false">
      <c r="A13" s="4" t="s">
        <v>54</v>
      </c>
      <c r="B13" s="22" t="n">
        <f aca="false">COUNTIF(Strips!$B$3:$B$62,$A13)</f>
        <v>4</v>
      </c>
      <c r="C13" s="22" t="n">
        <f aca="false">COUNTIF(Strips!$C$3:$C$62,$A13)</f>
        <v>4</v>
      </c>
      <c r="D13" s="22" t="n">
        <f aca="false">COUNTIF(Strips!$D$3:$D$62,$A13)</f>
        <v>4</v>
      </c>
      <c r="E13" s="22" t="n">
        <f aca="false">COUNTIF(Strips!$E$3:$E$62,$A13)</f>
        <v>3</v>
      </c>
      <c r="F13" s="22" t="n">
        <f aca="false">COUNTIF(Strips!$F$3:$F$62,$A13)</f>
        <v>4</v>
      </c>
      <c r="H13" s="22" t="n">
        <f aca="false">COUNTIF(Strips!$T$3:$T$62,$A13)</f>
        <v>3</v>
      </c>
      <c r="I13" s="22" t="n">
        <f aca="false">COUNTIF(Strips!$U$3:$U$62,$A13)</f>
        <v>3</v>
      </c>
      <c r="J13" s="22" t="n">
        <f aca="false">COUNTIF(Strips!$V$3:$V$62,$A13)</f>
        <v>3</v>
      </c>
      <c r="K13" s="22" t="n">
        <f aca="false">COUNTIF(Strips!$W$3:$W$62,$A13)</f>
        <v>3</v>
      </c>
      <c r="L13" s="22" t="n">
        <f aca="false">COUNTIF(Strips!$X$3:$X$62,$A13)</f>
        <v>3</v>
      </c>
      <c r="O13" s="4" t="s">
        <v>118</v>
      </c>
      <c r="P13" s="26" t="n">
        <f aca="false">Inputs!$B$10</f>
        <v>3</v>
      </c>
    </row>
    <row r="14" customFormat="false" ht="15" hidden="false" customHeight="false" outlineLevel="0" collapsed="false">
      <c r="A14" s="4" t="s">
        <v>55</v>
      </c>
      <c r="B14" s="22" t="n">
        <f aca="false">COUNTIF(Strips!$B$3:$B$62,$A14)</f>
        <v>5</v>
      </c>
      <c r="C14" s="22" t="n">
        <f aca="false">COUNTIF(Strips!$C$3:$C$62,$A14)</f>
        <v>4</v>
      </c>
      <c r="D14" s="22" t="n">
        <f aca="false">COUNTIF(Strips!$D$3:$D$62,$A14)</f>
        <v>4</v>
      </c>
      <c r="E14" s="22" t="n">
        <f aca="false">COUNTIF(Strips!$E$3:$E$62,$A14)</f>
        <v>5</v>
      </c>
      <c r="F14" s="22" t="n">
        <f aca="false">COUNTIF(Strips!$F$3:$F$62,$A14)</f>
        <v>5</v>
      </c>
      <c r="H14" s="22" t="n">
        <f aca="false">COUNTIF(Strips!$T$3:$T$62,$A14)</f>
        <v>4</v>
      </c>
      <c r="I14" s="22" t="n">
        <f aca="false">COUNTIF(Strips!$U$3:$U$62,$A14)</f>
        <v>3</v>
      </c>
      <c r="J14" s="22" t="n">
        <f aca="false">COUNTIF(Strips!$V$3:$V$62,$A14)</f>
        <v>3</v>
      </c>
      <c r="K14" s="22" t="n">
        <f aca="false">COUNTIF(Strips!$W$3:$W$62,$A14)</f>
        <v>3</v>
      </c>
      <c r="L14" s="22" t="n">
        <f aca="false">COUNTIF(Strips!$X$3:$X$62,$A14)</f>
        <v>4</v>
      </c>
      <c r="O14" s="4" t="s">
        <v>119</v>
      </c>
      <c r="P14" s="24" t="n">
        <f aca="false">$G$172</f>
        <v>10.6373748403655</v>
      </c>
      <c r="Q14" s="25" t="n">
        <v>10.6373748403656</v>
      </c>
    </row>
    <row r="15" customFormat="false" ht="15" hidden="false" customHeight="false" outlineLevel="0" collapsed="false">
      <c r="A15" s="4" t="s">
        <v>56</v>
      </c>
      <c r="B15" s="22" t="n">
        <f aca="false">COUNTIF(Strips!$B$3:$B$62,$A15)</f>
        <v>6</v>
      </c>
      <c r="C15" s="22" t="n">
        <f aca="false">COUNTIF(Strips!$C$3:$C$62,$A15)</f>
        <v>4</v>
      </c>
      <c r="D15" s="22" t="n">
        <f aca="false">COUNTIF(Strips!$D$3:$D$62,$A15)</f>
        <v>5</v>
      </c>
      <c r="E15" s="22" t="n">
        <f aca="false">COUNTIF(Strips!$E$3:$E$62,$A15)</f>
        <v>5</v>
      </c>
      <c r="F15" s="22" t="n">
        <f aca="false">COUNTIF(Strips!$F$3:$F$62,$A15)</f>
        <v>5</v>
      </c>
      <c r="H15" s="22" t="n">
        <f aca="false">COUNTIF(Strips!$T$3:$T$62,$A15)</f>
        <v>4</v>
      </c>
      <c r="I15" s="22" t="n">
        <f aca="false">COUNTIF(Strips!$U$3:$U$62,$A15)</f>
        <v>3</v>
      </c>
      <c r="J15" s="22" t="n">
        <f aca="false">COUNTIF(Strips!$V$3:$V$62,$A15)</f>
        <v>3</v>
      </c>
      <c r="K15" s="22" t="n">
        <f aca="false">COUNTIF(Strips!$W$3:$W$62,$A15)</f>
        <v>3</v>
      </c>
      <c r="L15" s="22" t="n">
        <f aca="false">COUNTIF(Strips!$X$3:$X$62,$A15)</f>
        <v>4</v>
      </c>
      <c r="O15" s="4" t="s">
        <v>120</v>
      </c>
      <c r="P15" s="27" t="n">
        <f aca="false">P14*P13*(P10+P11)</f>
        <v>33.7451971606218</v>
      </c>
      <c r="Q15" s="28" t="n">
        <v>33.7451971606218</v>
      </c>
    </row>
    <row r="16" customFormat="false" ht="15" hidden="false" customHeight="false" outlineLevel="0" collapsed="false">
      <c r="A16" s="4" t="s">
        <v>57</v>
      </c>
      <c r="B16" s="22" t="n">
        <f aca="false">COUNTIF(Strips!$B$3:$B$62,$A16)</f>
        <v>6</v>
      </c>
      <c r="C16" s="22" t="n">
        <f aca="false">COUNTIF(Strips!$C$3:$C$62,$A16)</f>
        <v>6</v>
      </c>
      <c r="D16" s="22" t="n">
        <f aca="false">COUNTIF(Strips!$D$3:$D$62,$A16)</f>
        <v>5</v>
      </c>
      <c r="E16" s="22" t="n">
        <f aca="false">COUNTIF(Strips!$E$3:$E$62,$A16)</f>
        <v>5</v>
      </c>
      <c r="F16" s="22" t="n">
        <f aca="false">COUNTIF(Strips!$F$3:$F$62,$A16)</f>
        <v>7</v>
      </c>
      <c r="H16" s="22" t="n">
        <f aca="false">COUNTIF(Strips!$T$3:$T$62,$A16)</f>
        <v>4</v>
      </c>
      <c r="I16" s="22" t="n">
        <f aca="false">COUNTIF(Strips!$U$3:$U$62,$A16)</f>
        <v>3</v>
      </c>
      <c r="J16" s="22" t="n">
        <f aca="false">COUNTIF(Strips!$V$3:$V$62,$A16)</f>
        <v>3</v>
      </c>
      <c r="K16" s="22" t="n">
        <f aca="false">COUNTIF(Strips!$W$3:$W$62,$A16)</f>
        <v>3</v>
      </c>
      <c r="L16" s="22" t="n">
        <f aca="false">COUNTIF(Strips!$X$3:$X$62,$A16)</f>
        <v>4</v>
      </c>
      <c r="O16" s="4" t="s">
        <v>10</v>
      </c>
      <c r="P16" s="23" t="n">
        <f aca="false">P9*P15</f>
        <v>0.2798674651541</v>
      </c>
      <c r="Q16" s="6" t="n">
        <v>0.2798674651541</v>
      </c>
    </row>
    <row r="17" customFormat="false" ht="15" hidden="false" customHeight="false" outlineLevel="0" collapsed="false">
      <c r="A17" s="4" t="s">
        <v>58</v>
      </c>
      <c r="B17" s="22" t="n">
        <f aca="false">COUNTIF(Strips!$B$3:$B$62,$A17)</f>
        <v>7</v>
      </c>
      <c r="C17" s="22" t="n">
        <f aca="false">COUNTIF(Strips!$C$3:$C$62,$A17)</f>
        <v>6</v>
      </c>
      <c r="D17" s="22" t="n">
        <f aca="false">COUNTIF(Strips!$D$3:$D$62,$A17)</f>
        <v>6</v>
      </c>
      <c r="E17" s="22" t="n">
        <f aca="false">COUNTIF(Strips!$E$3:$E$62,$A17)</f>
        <v>6</v>
      </c>
      <c r="F17" s="22" t="n">
        <f aca="false">COUNTIF(Strips!$F$3:$F$62,$A17)</f>
        <v>7</v>
      </c>
      <c r="H17" s="22" t="n">
        <f aca="false">COUNTIF(Strips!$T$3:$T$62,$A17)</f>
        <v>5</v>
      </c>
      <c r="I17" s="22" t="n">
        <f aca="false">COUNTIF(Strips!$U$3:$U$62,$A17)</f>
        <v>4</v>
      </c>
      <c r="J17" s="22" t="n">
        <f aca="false">COUNTIF(Strips!$V$3:$V$62,$A17)</f>
        <v>4</v>
      </c>
      <c r="K17" s="22" t="n">
        <f aca="false">COUNTIF(Strips!$W$3:$W$62,$A17)</f>
        <v>4</v>
      </c>
      <c r="L17" s="22" t="n">
        <f aca="false">COUNTIF(Strips!$X$3:$X$62,$A17)</f>
        <v>5</v>
      </c>
      <c r="O17" s="4" t="s">
        <v>121</v>
      </c>
      <c r="P17" s="29" t="n">
        <f aca="false">P8+P16</f>
        <v>0.960005038040397</v>
      </c>
      <c r="Q17" s="6" t="n">
        <v>0.960005038040398</v>
      </c>
    </row>
    <row r="18" customFormat="false" ht="15" hidden="false" customHeight="false" outlineLevel="0" collapsed="false">
      <c r="A18" s="17" t="s">
        <v>122</v>
      </c>
      <c r="B18" s="22" t="n">
        <f aca="false">SUM(B6:B17)</f>
        <v>40</v>
      </c>
      <c r="C18" s="22" t="n">
        <f aca="false">SUM(C6:C17)</f>
        <v>42</v>
      </c>
      <c r="D18" s="22" t="n">
        <f aca="false">SUM(D6:D17)</f>
        <v>42</v>
      </c>
      <c r="E18" s="22" t="n">
        <f aca="false">SUM(E6:E17)</f>
        <v>42</v>
      </c>
      <c r="F18" s="22" t="n">
        <f aca="false">SUM(F6:F17)</f>
        <v>40</v>
      </c>
      <c r="H18" s="22" t="n">
        <f aca="false">SUM(H6:H17)</f>
        <v>34</v>
      </c>
      <c r="I18" s="22" t="n">
        <f aca="false">SUM(I6:I17)</f>
        <v>34</v>
      </c>
      <c r="J18" s="22" t="n">
        <f aca="false">SUM(J6:J17)</f>
        <v>34</v>
      </c>
      <c r="K18" s="22" t="n">
        <f aca="false">SUM(K6:K17)</f>
        <v>34</v>
      </c>
      <c r="L18" s="22" t="n">
        <f aca="false">SUM(L6:L17)</f>
        <v>34</v>
      </c>
      <c r="O18" s="17" t="s">
        <v>123</v>
      </c>
      <c r="P18" s="30" t="n">
        <f aca="false">P17-Q17</f>
        <v>0</v>
      </c>
    </row>
    <row r="19" customFormat="false" ht="15" hidden="false" customHeight="false" outlineLevel="0" collapsed="false">
      <c r="A19" s="17" t="s">
        <v>124</v>
      </c>
      <c r="B19" s="22" t="n">
        <f aca="false">PRODUCT(B18:F18)</f>
        <v>118540800</v>
      </c>
      <c r="H19" s="22" t="n">
        <f aca="false">PRODUCT(H18:L18)</f>
        <v>45435424</v>
      </c>
      <c r="O19" s="4" t="s">
        <v>125</v>
      </c>
      <c r="P19" s="31" t="n">
        <v>-5.95547159290392E-044</v>
      </c>
    </row>
    <row r="20" customFormat="false" ht="15" hidden="false" customHeight="false" outlineLevel="0" collapsed="false">
      <c r="O20" s="17" t="s">
        <v>126</v>
      </c>
      <c r="P20" s="32" t="n">
        <f aca="false">P17+P19</f>
        <v>0.960005038040397</v>
      </c>
      <c r="Q20" s="6" t="n">
        <v>0.960005038040397</v>
      </c>
    </row>
    <row r="21" customFormat="false" ht="15" hidden="false" customHeight="false" outlineLevel="0" collapsed="false">
      <c r="A21" s="20" t="s">
        <v>127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O21" s="4" t="s">
        <v>128</v>
      </c>
      <c r="P21" s="33" t="n">
        <f aca="false">1-P20</f>
        <v>0.0399949619596027</v>
      </c>
    </row>
    <row r="22" customFormat="false" ht="23.85" hidden="false" customHeight="false" outlineLevel="0" collapsed="false">
      <c r="A22" s="3" t="s">
        <v>44</v>
      </c>
      <c r="B22" s="3" t="s">
        <v>129</v>
      </c>
      <c r="C22" s="3" t="s">
        <v>130</v>
      </c>
      <c r="D22" s="3" t="s">
        <v>131</v>
      </c>
      <c r="E22" s="3" t="s">
        <v>132</v>
      </c>
      <c r="F22" s="3" t="s">
        <v>133</v>
      </c>
      <c r="G22" s="3" t="s">
        <v>134</v>
      </c>
    </row>
    <row r="23" customFormat="false" ht="15" hidden="false" customHeight="false" outlineLevel="0" collapsed="false">
      <c r="A23" s="4" t="s">
        <v>49</v>
      </c>
      <c r="B23" s="4" t="n">
        <v>2</v>
      </c>
      <c r="C23" s="34" t="n">
        <f aca="false">INDEX(Inputs!$B$16:$E$16,1,1)</f>
        <v>2</v>
      </c>
      <c r="D23" s="22" t="n">
        <f aca="false">$B$8*($C$8+$C$6)*($D$18-($D$8+$D$6))*$E$18*$F$18</f>
        <v>352800</v>
      </c>
      <c r="E23" s="24" t="n">
        <f aca="false">D23/$B$19</f>
        <v>0.00297619047619048</v>
      </c>
      <c r="F23" s="35" t="n">
        <f aca="false">IF(E23&gt;0,1/E23,"-")</f>
        <v>336</v>
      </c>
      <c r="G23" s="23" t="n">
        <f aca="false">C23*E23</f>
        <v>0.00595238095238095</v>
      </c>
    </row>
    <row r="24" customFormat="false" ht="15" hidden="false" customHeight="false" outlineLevel="0" collapsed="false">
      <c r="A24" s="4" t="s">
        <v>49</v>
      </c>
      <c r="B24" s="4" t="n">
        <v>3</v>
      </c>
      <c r="C24" s="34" t="n">
        <f aca="false">INDEX(Inputs!$B$16:$E$16,1,2)</f>
        <v>50</v>
      </c>
      <c r="D24" s="22" t="n">
        <f aca="false">$B$8*($C$8+$C$6)*($D$8+$D$6)*($E$18-($E$8+$E$6))*$F$18</f>
        <v>60480</v>
      </c>
      <c r="E24" s="24" t="n">
        <f aca="false">D24/$B$19</f>
        <v>0.000510204081632653</v>
      </c>
      <c r="F24" s="35" t="n">
        <f aca="false">IF(E24&gt;0,1/E24,"-")</f>
        <v>1960</v>
      </c>
      <c r="G24" s="23" t="n">
        <f aca="false">C24*E24</f>
        <v>0.0255102040816327</v>
      </c>
      <c r="O24" s="20" t="s">
        <v>135</v>
      </c>
      <c r="P24" s="21"/>
      <c r="Q24" s="21"/>
      <c r="R24" s="21"/>
      <c r="S24" s="21"/>
    </row>
    <row r="25" customFormat="false" ht="15" hidden="false" customHeight="false" outlineLevel="0" collapsed="false">
      <c r="A25" s="4" t="s">
        <v>49</v>
      </c>
      <c r="B25" s="4" t="n">
        <v>4</v>
      </c>
      <c r="C25" s="34" t="n">
        <f aca="false">INDEX(Inputs!$B$16:$E$16,1,3)</f>
        <v>250</v>
      </c>
      <c r="D25" s="22" t="n">
        <f aca="false">$B$8*($C$8+$C$6)*($D$8+$D$6)*($E$8+$E$6)*($F$18-($F$8+$F$6))</f>
        <v>9828</v>
      </c>
      <c r="E25" s="24" t="n">
        <f aca="false">D25/$B$19</f>
        <v>8.29081632653061E-005</v>
      </c>
      <c r="F25" s="35" t="n">
        <f aca="false">IF(E25&gt;0,1/E25,"-")</f>
        <v>12061.5384615385</v>
      </c>
      <c r="G25" s="23" t="n">
        <f aca="false">C25*E25</f>
        <v>0.0207270408163265</v>
      </c>
      <c r="O25" s="3" t="s">
        <v>136</v>
      </c>
      <c r="P25" s="3" t="s">
        <v>137</v>
      </c>
      <c r="Q25" s="3" t="s">
        <v>138</v>
      </c>
      <c r="R25" s="3" t="s">
        <v>139</v>
      </c>
      <c r="S25" s="3" t="s">
        <v>140</v>
      </c>
    </row>
    <row r="26" customFormat="false" ht="15" hidden="false" customHeight="false" outlineLevel="0" collapsed="false">
      <c r="A26" s="4" t="s">
        <v>49</v>
      </c>
      <c r="B26" s="4" t="n">
        <v>5</v>
      </c>
      <c r="C26" s="34" t="n">
        <f aca="false">INDEX(Inputs!$B$16:$E$16,1,4)</f>
        <v>1000</v>
      </c>
      <c r="D26" s="22" t="n">
        <f aca="false">$B$8*($C$8+$C$6)*($D$8+$D$6)*($E$8+$E$6)*($F$8+$F$6)</f>
        <v>252</v>
      </c>
      <c r="E26" s="24" t="n">
        <f aca="false">D26/$B$19</f>
        <v>2.12585034013605E-006</v>
      </c>
      <c r="F26" s="35" t="n">
        <f aca="false">IF(E26&gt;0,1/E26,"-")</f>
        <v>470400</v>
      </c>
      <c r="G26" s="23" t="n">
        <f aca="false">C26*E26</f>
        <v>0.00212585034013605</v>
      </c>
      <c r="O26" s="4" t="s">
        <v>141</v>
      </c>
      <c r="P26" s="23" t="n">
        <f aca="false">SUMIF($A$23:$A$53,"SEVEN",$G$23:$G$53)</f>
        <v>0.0543154761904762</v>
      </c>
      <c r="Q26" s="23" t="n">
        <f aca="false">P9*P14*P13*SUMIF($A$59:$A$89,"SEVEN",$G$59:$G$89)</f>
        <v>0.0712531187392973</v>
      </c>
      <c r="R26" s="23" t="n">
        <f aca="false">P26+Q26</f>
        <v>0.125568594929774</v>
      </c>
      <c r="S26" s="36" t="n">
        <f aca="false">R26/P20</f>
        <v>0.13079993328586</v>
      </c>
    </row>
    <row r="27" customFormat="false" ht="15" hidden="false" customHeight="false" outlineLevel="0" collapsed="false">
      <c r="A27" s="4" t="s">
        <v>50</v>
      </c>
      <c r="B27" s="4" t="n">
        <v>3</v>
      </c>
      <c r="C27" s="34" t="n">
        <f aca="false">INDEX(Inputs!$B$17:$E$17,1,2)</f>
        <v>30</v>
      </c>
      <c r="D27" s="22" t="n">
        <f aca="false">$B$9*($C$9+$C$6)*($D$9+$D$6)*($E$18-($E$9+$E$6))*$F$18</f>
        <v>156800</v>
      </c>
      <c r="E27" s="24" t="n">
        <f aca="false">D27/$B$19</f>
        <v>0.00132275132275132</v>
      </c>
      <c r="F27" s="35" t="n">
        <f aca="false">IF(E27&gt;0,1/E27,"-")</f>
        <v>756</v>
      </c>
      <c r="G27" s="23" t="n">
        <f aca="false">C27*E27</f>
        <v>0.0396825396825397</v>
      </c>
      <c r="O27" s="4" t="s">
        <v>142</v>
      </c>
      <c r="P27" s="23" t="n">
        <f aca="false">SUMIF($A$23:$A$53,"BAR",$G$23:$G$53)</f>
        <v>0.0764550264550265</v>
      </c>
      <c r="Q27" s="23" t="n">
        <f aca="false">P9*P14*P13*SUMIF($A$59:$A$89,"BAR",$G$59:$G$89)</f>
        <v>0.0350620629292242</v>
      </c>
      <c r="R27" s="23" t="n">
        <f aca="false">P27+Q27</f>
        <v>0.111517089384251</v>
      </c>
      <c r="S27" s="36" t="n">
        <f aca="false">R27/P20</f>
        <v>0.116163025156497</v>
      </c>
    </row>
    <row r="28" customFormat="false" ht="15" hidden="false" customHeight="false" outlineLevel="0" collapsed="false">
      <c r="A28" s="4" t="s">
        <v>50</v>
      </c>
      <c r="B28" s="4" t="n">
        <v>4</v>
      </c>
      <c r="C28" s="34" t="n">
        <f aca="false">INDEX(Inputs!$B$17:$E$17,1,3)</f>
        <v>120</v>
      </c>
      <c r="D28" s="22" t="n">
        <f aca="false">$B$9*($C$9+$C$6)*($D$9+$D$6)*($E$9+$E$6)*($F$18-($F$9+$F$6))</f>
        <v>29792</v>
      </c>
      <c r="E28" s="24" t="n">
        <f aca="false">D28/$B$19</f>
        <v>0.000251322751322751</v>
      </c>
      <c r="F28" s="35" t="n">
        <f aca="false">IF(E28&gt;0,1/E28,"-")</f>
        <v>3978.94736842105</v>
      </c>
      <c r="G28" s="23" t="n">
        <f aca="false">C28*E28</f>
        <v>0.0301587301587302</v>
      </c>
      <c r="O28" s="4" t="s">
        <v>143</v>
      </c>
      <c r="P28" s="23" t="n">
        <f aca="false">SUMIF($A$23:$A$53,"BELL",$G$23:$G$53)</f>
        <v>0.0505291005291005</v>
      </c>
      <c r="Q28" s="23" t="n">
        <f aca="false">P9*P14*P13*SUMIF($A$59:$A$89,"BELL",$G$59:$G$89)</f>
        <v>0.0359811433804787</v>
      </c>
      <c r="R28" s="23" t="n">
        <f aca="false">P28+Q28</f>
        <v>0.0865102439095792</v>
      </c>
      <c r="S28" s="36" t="n">
        <f aca="false">R28/P20</f>
        <v>0.0901143644893443</v>
      </c>
    </row>
    <row r="29" customFormat="false" ht="15" hidden="false" customHeight="false" outlineLevel="0" collapsed="false">
      <c r="A29" s="4" t="s">
        <v>50</v>
      </c>
      <c r="B29" s="4" t="n">
        <v>5</v>
      </c>
      <c r="C29" s="34" t="n">
        <f aca="false">INDEX(Inputs!$B$17:$E$17,1,4)</f>
        <v>500</v>
      </c>
      <c r="D29" s="22" t="n">
        <f aca="false">$B$9*($C$9+$C$6)*($D$9+$D$6)*($E$9+$E$6)*($F$9+$F$6)</f>
        <v>1568</v>
      </c>
      <c r="E29" s="24" t="n">
        <f aca="false">D29/$B$19</f>
        <v>1.32275132275132E-005</v>
      </c>
      <c r="F29" s="35" t="n">
        <f aca="false">IF(E29&gt;0,1/E29,"-")</f>
        <v>75600</v>
      </c>
      <c r="G29" s="23" t="n">
        <f aca="false">C29*E29</f>
        <v>0.00661375661375661</v>
      </c>
      <c r="O29" s="4" t="s">
        <v>144</v>
      </c>
      <c r="P29" s="23" t="n">
        <f aca="false">SUMIF($A$23:$A$53,"MELON",$G$23:$G$53)</f>
        <v>0.0706997084548105</v>
      </c>
      <c r="Q29" s="23" t="n">
        <f aca="false">P9*P14*P13*SUMIF($A$59:$A$89,"MELON",$G$59:$G$89)</f>
        <v>0.0327248095367705</v>
      </c>
      <c r="R29" s="23" t="n">
        <f aca="false">P29+Q29</f>
        <v>0.103424517991581</v>
      </c>
      <c r="S29" s="36" t="n">
        <f aca="false">R29/P20</f>
        <v>0.107733307527943</v>
      </c>
    </row>
    <row r="30" customFormat="false" ht="15" hidden="false" customHeight="false" outlineLevel="0" collapsed="false">
      <c r="A30" s="4" t="s">
        <v>51</v>
      </c>
      <c r="B30" s="4" t="n">
        <v>3</v>
      </c>
      <c r="C30" s="34" t="n">
        <f aca="false">INDEX(Inputs!$B$18:$E$18,1,2)</f>
        <v>20</v>
      </c>
      <c r="D30" s="22" t="n">
        <f aca="false">$B$10*($C$10+$C$6)*($D$10+$D$6)*($E$18-($E$10+$E$6))*$F$18</f>
        <v>156800</v>
      </c>
      <c r="E30" s="24" t="n">
        <f aca="false">D30/$B$19</f>
        <v>0.00132275132275132</v>
      </c>
      <c r="F30" s="35" t="n">
        <f aca="false">IF(E30&gt;0,1/E30,"-")</f>
        <v>756</v>
      </c>
      <c r="G30" s="23" t="n">
        <f aca="false">C30*E30</f>
        <v>0.0264550264550265</v>
      </c>
      <c r="O30" s="4" t="s">
        <v>145</v>
      </c>
      <c r="P30" s="23" t="n">
        <f aca="false">SUMIF($A$23:$A$53,"PLUM",$G$23:$G$53)</f>
        <v>0.0518221574344023</v>
      </c>
      <c r="Q30" s="23" t="n">
        <f aca="false">P9*P14*P13*SUMIF($A$59:$A$89,"PLUM",$G$59:$G$89)</f>
        <v>0.0243367004620685</v>
      </c>
      <c r="R30" s="23" t="n">
        <f aca="false">P30+Q30</f>
        <v>0.0761588578964709</v>
      </c>
      <c r="S30" s="36" t="n">
        <f aca="false">R30/P20</f>
        <v>0.0793317273125249</v>
      </c>
    </row>
    <row r="31" customFormat="false" ht="15" hidden="false" customHeight="false" outlineLevel="0" collapsed="false">
      <c r="A31" s="4" t="s">
        <v>51</v>
      </c>
      <c r="B31" s="4" t="n">
        <v>4</v>
      </c>
      <c r="C31" s="34" t="n">
        <f aca="false">INDEX(Inputs!$B$18:$E$18,1,3)</f>
        <v>80</v>
      </c>
      <c r="D31" s="22" t="n">
        <f aca="false">$B$10*($C$10+$C$6)*($D$10+$D$6)*($E$10+$E$6)*($F$18-($F$10+$F$6))</f>
        <v>29792</v>
      </c>
      <c r="E31" s="24" t="n">
        <f aca="false">D31/$B$19</f>
        <v>0.000251322751322751</v>
      </c>
      <c r="F31" s="35" t="n">
        <f aca="false">IF(E31&gt;0,1/E31,"-")</f>
        <v>3978.94736842105</v>
      </c>
      <c r="G31" s="23" t="n">
        <f aca="false">C31*E31</f>
        <v>0.0201058201058201</v>
      </c>
      <c r="O31" s="4" t="s">
        <v>146</v>
      </c>
      <c r="P31" s="23" t="n">
        <f aca="false">SUMIF($A$23:$A$53,"A",$G$23:$G$53)</f>
        <v>0.0522351797862002</v>
      </c>
      <c r="Q31" s="23" t="n">
        <f aca="false">P9*P14*P13*SUMIF($A$59:$A$89,"A",$G$59:$G$89)</f>
        <v>0.0145617573536825</v>
      </c>
      <c r="R31" s="23" t="n">
        <f aca="false">P31+Q31</f>
        <v>0.0667969371398827</v>
      </c>
      <c r="S31" s="36" t="n">
        <f aca="false">R31/P20</f>
        <v>0.0695797777022415</v>
      </c>
    </row>
    <row r="32" customFormat="false" ht="15" hidden="false" customHeight="false" outlineLevel="0" collapsed="false">
      <c r="A32" s="4" t="s">
        <v>51</v>
      </c>
      <c r="B32" s="4" t="n">
        <v>5</v>
      </c>
      <c r="C32" s="34" t="n">
        <f aca="false">INDEX(Inputs!$B$18:$E$18,1,4)</f>
        <v>300</v>
      </c>
      <c r="D32" s="22" t="n">
        <f aca="false">$B$10*($C$10+$C$6)*($D$10+$D$6)*($E$10+$E$6)*($F$10+$F$6)</f>
        <v>1568</v>
      </c>
      <c r="E32" s="24" t="n">
        <f aca="false">D32/$B$19</f>
        <v>1.32275132275132E-005</v>
      </c>
      <c r="F32" s="35" t="n">
        <f aca="false">IF(E32&gt;0,1/E32,"-")</f>
        <v>75600</v>
      </c>
      <c r="G32" s="23" t="n">
        <f aca="false">C32*E32</f>
        <v>0.00396825396825397</v>
      </c>
      <c r="O32" s="4" t="s">
        <v>147</v>
      </c>
      <c r="P32" s="23" t="n">
        <f aca="false">SUMIF($A$23:$A$53,"K",$G$23:$G$53)</f>
        <v>0.0660532069970845</v>
      </c>
      <c r="Q32" s="23" t="n">
        <f aca="false">P9*P14*P13*SUMIF($A$59:$A$89,"K",$G$59:$G$89)</f>
        <v>0.0175665644266647</v>
      </c>
      <c r="R32" s="23" t="n">
        <f aca="false">P32+Q32</f>
        <v>0.0836197714237492</v>
      </c>
      <c r="S32" s="36" t="n">
        <f aca="false">R32/P20</f>
        <v>0.0871034714509805</v>
      </c>
    </row>
    <row r="33" customFormat="false" ht="15" hidden="false" customHeight="false" outlineLevel="0" collapsed="false">
      <c r="A33" s="4" t="s">
        <v>52</v>
      </c>
      <c r="B33" s="4" t="n">
        <v>3</v>
      </c>
      <c r="C33" s="34" t="n">
        <f aca="false">INDEX(Inputs!$B$19:$E$19,1,2)</f>
        <v>15</v>
      </c>
      <c r="D33" s="22" t="n">
        <f aca="false">$B$11*($C$11+$C$6)*($D$11+$D$6)*($E$18-($E$11+$E$6))*$F$18</f>
        <v>293760</v>
      </c>
      <c r="E33" s="24" t="n">
        <f aca="false">D33/$B$19</f>
        <v>0.00247813411078717</v>
      </c>
      <c r="F33" s="35" t="n">
        <f aca="false">IF(E33&gt;0,1/E33,"-")</f>
        <v>403.529411764706</v>
      </c>
      <c r="G33" s="23" t="n">
        <f aca="false">C33*E33</f>
        <v>0.0371720116618076</v>
      </c>
      <c r="O33" s="4" t="s">
        <v>148</v>
      </c>
      <c r="P33" s="23" t="n">
        <f aca="false">SUMIF($A$23:$A$53,"Q",$G$23:$G$53)</f>
        <v>0.073410167638484</v>
      </c>
      <c r="Q33" s="23" t="n">
        <f aca="false">P9*P14*P13*SUMIF($A$59:$A$89,"Q",$G$59:$G$89)</f>
        <v>0.0148227207471177</v>
      </c>
      <c r="R33" s="23" t="n">
        <f aca="false">P33+Q33</f>
        <v>0.0882328883856017</v>
      </c>
      <c r="S33" s="36" t="n">
        <f aca="false">R33/P20</f>
        <v>0.0919087764015347</v>
      </c>
    </row>
    <row r="34" customFormat="false" ht="15" hidden="false" customHeight="false" outlineLevel="0" collapsed="false">
      <c r="A34" s="4" t="s">
        <v>52</v>
      </c>
      <c r="B34" s="4" t="n">
        <v>4</v>
      </c>
      <c r="C34" s="34" t="n">
        <f aca="false">INDEX(Inputs!$B$19:$E$19,1,3)</f>
        <v>50</v>
      </c>
      <c r="D34" s="22" t="n">
        <f aca="false">$B$11*($C$11+$C$6)*($D$11+$D$6)*($E$11+$E$6)*($F$18-($F$11+$F$6))</f>
        <v>63936</v>
      </c>
      <c r="E34" s="24" t="n">
        <f aca="false">D34/$B$19</f>
        <v>0.00053935860058309</v>
      </c>
      <c r="F34" s="35" t="n">
        <f aca="false">IF(E34&gt;0,1/E34,"-")</f>
        <v>1854.05405405405</v>
      </c>
      <c r="G34" s="23" t="n">
        <f aca="false">C34*E34</f>
        <v>0.0269679300291545</v>
      </c>
      <c r="O34" s="4" t="s">
        <v>149</v>
      </c>
      <c r="P34" s="23" t="n">
        <f aca="false">SUMIF($A$23:$A$53,"J",$G$23:$G$53)</f>
        <v>0.0730037252996437</v>
      </c>
      <c r="Q34" s="23" t="n">
        <f aca="false">P9*P14*P13*SUMIF($A$59:$A$89,"J",$G$59:$G$89)</f>
        <v>0.011237829331014</v>
      </c>
      <c r="R34" s="23" t="n">
        <f aca="false">P34+Q34</f>
        <v>0.0842415546306577</v>
      </c>
      <c r="S34" s="36" t="n">
        <f aca="false">R34/P20</f>
        <v>0.0877511588924732</v>
      </c>
    </row>
    <row r="35" customFormat="false" ht="15" hidden="false" customHeight="false" outlineLevel="0" collapsed="false">
      <c r="A35" s="4" t="s">
        <v>52</v>
      </c>
      <c r="B35" s="4" t="n">
        <v>5</v>
      </c>
      <c r="C35" s="34" t="n">
        <f aca="false">INDEX(Inputs!$B$19:$E$19,1,4)</f>
        <v>150</v>
      </c>
      <c r="D35" s="22" t="n">
        <f aca="false">$B$11*($C$11+$C$6)*($D$11+$D$6)*($E$11+$E$6)*($F$11+$F$6)</f>
        <v>5184</v>
      </c>
      <c r="E35" s="24" t="n">
        <f aca="false">D35/$B$19</f>
        <v>4.3731778425656E-005</v>
      </c>
      <c r="F35" s="35" t="n">
        <f aca="false">IF(E35&gt;0,1/E35,"-")</f>
        <v>22866.6666666667</v>
      </c>
      <c r="G35" s="23" t="n">
        <f aca="false">C35*E35</f>
        <v>0.0065597667638484</v>
      </c>
      <c r="O35" s="4" t="s">
        <v>150</v>
      </c>
      <c r="P35" s="23" t="n">
        <f aca="false">SUMIF($A$23:$A$53,"10",$G$23:$G$53)</f>
        <v>0.0909651360544218</v>
      </c>
      <c r="Q35" s="23" t="n">
        <f aca="false">P9*P14*P13*SUMIF($A$59:$A$89,"10",$G$59:$G$89)</f>
        <v>0.0184250058394</v>
      </c>
      <c r="R35" s="23" t="n">
        <f aca="false">P35+Q35</f>
        <v>0.109390141893822</v>
      </c>
      <c r="S35" s="36" t="n">
        <f aca="false">R35/P20</f>
        <v>0.113947466481128</v>
      </c>
    </row>
    <row r="36" customFormat="false" ht="15" hidden="false" customHeight="false" outlineLevel="0" collapsed="false">
      <c r="A36" s="4" t="s">
        <v>53</v>
      </c>
      <c r="B36" s="4" t="n">
        <v>3</v>
      </c>
      <c r="C36" s="34" t="n">
        <f aca="false">INDEX(Inputs!$B$20:$E$20,1,2)</f>
        <v>10</v>
      </c>
      <c r="D36" s="22" t="n">
        <f aca="false">$B$12*($C$12+$C$6)*($D$12+$D$6)*($E$18-($E$12+$E$6))*$F$18</f>
        <v>293760</v>
      </c>
      <c r="E36" s="24" t="n">
        <f aca="false">D36/$B$19</f>
        <v>0.00247813411078717</v>
      </c>
      <c r="F36" s="35" t="n">
        <f aca="false">IF(E36&gt;0,1/E36,"-")</f>
        <v>403.529411764706</v>
      </c>
      <c r="G36" s="23" t="n">
        <f aca="false">C36*E36</f>
        <v>0.0247813411078717</v>
      </c>
      <c r="O36" s="4" t="s">
        <v>151</v>
      </c>
      <c r="P36" s="23" t="n">
        <f aca="false">$E$102</f>
        <v>0.0206486880466472</v>
      </c>
      <c r="Q36" s="23" t="n">
        <f aca="false">P9*P14*P13*$E$115</f>
        <v>0.00389575240838188</v>
      </c>
      <c r="R36" s="23" t="n">
        <f aca="false">P36+Q36</f>
        <v>0.0245444404550291</v>
      </c>
      <c r="S36" s="36" t="n">
        <f aca="false">R36/P20</f>
        <v>0.025566991299473</v>
      </c>
    </row>
    <row r="37" customFormat="false" ht="15" hidden="false" customHeight="false" outlineLevel="0" collapsed="false">
      <c r="A37" s="4" t="s">
        <v>53</v>
      </c>
      <c r="B37" s="4" t="n">
        <v>4</v>
      </c>
      <c r="C37" s="34" t="n">
        <f aca="false">INDEX(Inputs!$B$20:$E$20,1,3)</f>
        <v>40</v>
      </c>
      <c r="D37" s="22" t="n">
        <f aca="false">$B$12*($C$12+$C$6)*($D$12+$D$6)*($E$12+$E$6)*($F$18-($F$12+$F$6))</f>
        <v>63936</v>
      </c>
      <c r="E37" s="24" t="n">
        <f aca="false">D37/$B$19</f>
        <v>0.00053935860058309</v>
      </c>
      <c r="F37" s="35" t="n">
        <f aca="false">IF(E37&gt;0,1/E37,"-")</f>
        <v>1854.05405405405</v>
      </c>
      <c r="G37" s="23" t="n">
        <f aca="false">C37*E37</f>
        <v>0.0215743440233236</v>
      </c>
      <c r="O37" s="4" t="s">
        <v>152</v>
      </c>
      <c r="R37" s="37" t="n">
        <f aca="false">P19</f>
        <v>-5.95547159290392E-044</v>
      </c>
    </row>
    <row r="38" customFormat="false" ht="15" hidden="false" customHeight="false" outlineLevel="0" collapsed="false">
      <c r="A38" s="4" t="s">
        <v>53</v>
      </c>
      <c r="B38" s="4" t="n">
        <v>5</v>
      </c>
      <c r="C38" s="34" t="n">
        <f aca="false">INDEX(Inputs!$B$20:$E$20,1,4)</f>
        <v>125</v>
      </c>
      <c r="D38" s="22" t="n">
        <f aca="false">$B$12*($C$12+$C$6)*($D$12+$D$6)*($E$12+$E$6)*($F$12+$F$6)</f>
        <v>5184</v>
      </c>
      <c r="E38" s="24" t="n">
        <f aca="false">D38/$B$19</f>
        <v>4.3731778425656E-005</v>
      </c>
      <c r="F38" s="35" t="n">
        <f aca="false">IF(E38&gt;0,1/E38,"-")</f>
        <v>22866.6666666667</v>
      </c>
      <c r="G38" s="23" t="n">
        <f aca="false">C38*E38</f>
        <v>0.005466472303207</v>
      </c>
      <c r="O38" s="17" t="s">
        <v>139</v>
      </c>
      <c r="P38" s="29" t="n">
        <f aca="false">SUM(P26:P36)</f>
        <v>0.680137572886297</v>
      </c>
      <c r="Q38" s="29" t="n">
        <f aca="false">SUM(Q26:Q36)</f>
        <v>0.2798674651541</v>
      </c>
      <c r="R38" s="29" t="n">
        <f aca="false">SUM(R26:R37)</f>
        <v>0.960005038040397</v>
      </c>
    </row>
    <row r="39" customFormat="false" ht="15" hidden="false" customHeight="false" outlineLevel="0" collapsed="false">
      <c r="A39" s="4" t="s">
        <v>54</v>
      </c>
      <c r="B39" s="4" t="n">
        <v>3</v>
      </c>
      <c r="C39" s="34" t="n">
        <f aca="false">INDEX(Inputs!$B$21:$E$21,1,2)</f>
        <v>5</v>
      </c>
      <c r="D39" s="22" t="n">
        <f aca="false">$B$13*($C$13+$C$6)*($D$13+$D$6)*($E$18-($E$13+$E$6))*$F$18</f>
        <v>489600</v>
      </c>
      <c r="E39" s="24" t="n">
        <f aca="false">D39/$B$19</f>
        <v>0.00413022351797862</v>
      </c>
      <c r="F39" s="35" t="n">
        <f aca="false">IF(E39&gt;0,1/E39,"-")</f>
        <v>242.117647058824</v>
      </c>
      <c r="G39" s="23" t="n">
        <f aca="false">C39*E39</f>
        <v>0.0206511175898931</v>
      </c>
      <c r="O39" s="4" t="s">
        <v>153</v>
      </c>
      <c r="R39" s="37" t="n">
        <f aca="false">R38-P20</f>
        <v>0</v>
      </c>
    </row>
    <row r="40" customFormat="false" ht="15" hidden="false" customHeight="false" outlineLevel="0" collapsed="false">
      <c r="A40" s="4" t="s">
        <v>54</v>
      </c>
      <c r="B40" s="4" t="n">
        <v>4</v>
      </c>
      <c r="C40" s="34" t="n">
        <f aca="false">INDEX(Inputs!$B$21:$E$21,1,3)</f>
        <v>25</v>
      </c>
      <c r="D40" s="22" t="n">
        <f aca="false">$B$13*($C$13+$C$6)*($D$13+$D$6)*($E$13+$E$6)*($F$18-($F$13+$F$6))</f>
        <v>103680</v>
      </c>
      <c r="E40" s="24" t="n">
        <f aca="false">D40/$B$19</f>
        <v>0.00087463556851312</v>
      </c>
      <c r="F40" s="35" t="n">
        <f aca="false">IF(E40&gt;0,1/E40,"-")</f>
        <v>1143.33333333333</v>
      </c>
      <c r="G40" s="23" t="n">
        <f aca="false">C40*E40</f>
        <v>0.021865889212828</v>
      </c>
    </row>
    <row r="41" customFormat="false" ht="15" hidden="false" customHeight="false" outlineLevel="0" collapsed="false">
      <c r="A41" s="4" t="s">
        <v>54</v>
      </c>
      <c r="B41" s="4" t="n">
        <v>5</v>
      </c>
      <c r="C41" s="34" t="n">
        <f aca="false">INDEX(Inputs!$B$21:$E$21,1,4)</f>
        <v>100</v>
      </c>
      <c r="D41" s="22" t="n">
        <f aca="false">$B$13*($C$13+$C$6)*($D$13+$D$6)*($E$13+$E$6)*($F$13+$F$6)</f>
        <v>11520</v>
      </c>
      <c r="E41" s="24" t="n">
        <f aca="false">D41/$B$19</f>
        <v>9.71817298347911E-005</v>
      </c>
      <c r="F41" s="35" t="n">
        <f aca="false">IF(E41&gt;0,1/E41,"-")</f>
        <v>10290</v>
      </c>
      <c r="G41" s="23" t="n">
        <f aca="false">C41*E41</f>
        <v>0.00971817298347911</v>
      </c>
    </row>
    <row r="42" customFormat="false" ht="15" hidden="false" customHeight="false" outlineLevel="0" collapsed="false">
      <c r="A42" s="4" t="s">
        <v>55</v>
      </c>
      <c r="B42" s="4" t="n">
        <v>3</v>
      </c>
      <c r="C42" s="34" t="n">
        <f aca="false">INDEX(Inputs!$B$22:$E$22,1,2)</f>
        <v>5</v>
      </c>
      <c r="D42" s="22" t="n">
        <f aca="false">$B$14*($C$14+$C$6)*($D$14+$D$6)*($E$18-($E$14+$E$6))*$F$18</f>
        <v>576000</v>
      </c>
      <c r="E42" s="24" t="n">
        <f aca="false">D42/$B$19</f>
        <v>0.00485908649173955</v>
      </c>
      <c r="F42" s="35" t="n">
        <f aca="false">IF(E42&gt;0,1/E42,"-")</f>
        <v>205.8</v>
      </c>
      <c r="G42" s="23" t="n">
        <f aca="false">C42*E42</f>
        <v>0.0242954324586978</v>
      </c>
      <c r="O42" s="20" t="s">
        <v>154</v>
      </c>
      <c r="P42" s="21"/>
      <c r="Q42" s="21"/>
      <c r="R42" s="21"/>
      <c r="S42" s="21"/>
    </row>
    <row r="43" customFormat="false" ht="15" hidden="false" customHeight="false" outlineLevel="0" collapsed="false">
      <c r="A43" s="4" t="s">
        <v>55</v>
      </c>
      <c r="B43" s="4" t="n">
        <v>4</v>
      </c>
      <c r="C43" s="34" t="n">
        <f aca="false">INDEX(Inputs!$B$22:$E$22,1,3)</f>
        <v>20</v>
      </c>
      <c r="D43" s="22" t="n">
        <f aca="false">$B$14*($C$14+$C$6)*($D$14+$D$6)*($E$14+$E$6)*($F$18-($F$14+$F$6))</f>
        <v>157500</v>
      </c>
      <c r="E43" s="24" t="n">
        <f aca="false">D43/$B$19</f>
        <v>0.00132865646258503</v>
      </c>
      <c r="F43" s="35" t="n">
        <f aca="false">IF(E43&gt;0,1/E43,"-")</f>
        <v>752.64</v>
      </c>
      <c r="G43" s="23" t="n">
        <f aca="false">C43*E43</f>
        <v>0.0265731292517007</v>
      </c>
      <c r="O43" s="3" t="s">
        <v>155</v>
      </c>
      <c r="P43" s="3" t="s">
        <v>156</v>
      </c>
      <c r="Q43" s="3" t="s">
        <v>157</v>
      </c>
      <c r="R43" s="3" t="s">
        <v>158</v>
      </c>
    </row>
    <row r="44" customFormat="false" ht="15" hidden="false" customHeight="false" outlineLevel="0" collapsed="false">
      <c r="A44" s="4" t="s">
        <v>55</v>
      </c>
      <c r="B44" s="4" t="n">
        <v>5</v>
      </c>
      <c r="C44" s="34" t="n">
        <f aca="false">INDEX(Inputs!$B$22:$E$22,1,4)</f>
        <v>80</v>
      </c>
      <c r="D44" s="22" t="n">
        <f aca="false">$B$14*($C$14+$C$6)*($D$14+$D$6)*($E$14+$E$6)*($F$14+$F$6)</f>
        <v>22500</v>
      </c>
      <c r="E44" s="24" t="n">
        <f aca="false">D44/$B$19</f>
        <v>0.000189808066083576</v>
      </c>
      <c r="F44" s="35" t="n">
        <f aca="false">IF(E44&gt;0,1/E44,"-")</f>
        <v>5268.48</v>
      </c>
      <c r="G44" s="23" t="n">
        <f aca="false">C44*E44</f>
        <v>0.0151846452866861</v>
      </c>
      <c r="O44" s="4" t="s">
        <v>159</v>
      </c>
      <c r="P44" s="6" t="n">
        <v>0.960005038040397</v>
      </c>
      <c r="Q44" s="6" t="n">
        <v>0.9598221496</v>
      </c>
      <c r="R44" s="4" t="s">
        <v>160</v>
      </c>
    </row>
    <row r="45" customFormat="false" ht="15" hidden="false" customHeight="false" outlineLevel="0" collapsed="false">
      <c r="A45" s="4" t="s">
        <v>56</v>
      </c>
      <c r="B45" s="4" t="n">
        <v>3</v>
      </c>
      <c r="C45" s="34" t="n">
        <f aca="false">INDEX(Inputs!$B$23:$E$23,1,2)</f>
        <v>5</v>
      </c>
      <c r="D45" s="22" t="n">
        <f aca="false">$B$15*($C$15+$C$6)*($D$15+$D$6)*($E$18-($E$15+$E$6))*$F$18</f>
        <v>760320</v>
      </c>
      <c r="E45" s="24" t="n">
        <f aca="false">D45/$B$19</f>
        <v>0.00641399416909621</v>
      </c>
      <c r="F45" s="35" t="n">
        <f aca="false">IF(E45&gt;0,1/E45,"-")</f>
        <v>155.909090909091</v>
      </c>
      <c r="G45" s="23" t="n">
        <f aca="false">C45*E45</f>
        <v>0.0320699708454811</v>
      </c>
      <c r="O45" s="4" t="s">
        <v>161</v>
      </c>
      <c r="Q45" s="13" t="s">
        <v>162</v>
      </c>
      <c r="R45" s="4" t="s">
        <v>163</v>
      </c>
    </row>
    <row r="46" customFormat="false" ht="15" hidden="false" customHeight="false" outlineLevel="0" collapsed="false">
      <c r="A46" s="4" t="s">
        <v>56</v>
      </c>
      <c r="B46" s="4" t="n">
        <v>4</v>
      </c>
      <c r="C46" s="34" t="n">
        <f aca="false">INDEX(Inputs!$B$23:$E$23,1,3)</f>
        <v>15</v>
      </c>
      <c r="D46" s="22" t="n">
        <f aca="false">$B$15*($C$15+$C$6)*($D$15+$D$6)*($E$15+$E$6)*($F$18-($F$15+$F$6))</f>
        <v>207900</v>
      </c>
      <c r="E46" s="24" t="n">
        <f aca="false">D46/$B$19</f>
        <v>0.00175382653061225</v>
      </c>
      <c r="F46" s="35" t="n">
        <f aca="false">IF(E46&gt;0,1/E46,"-")</f>
        <v>570.181818181818</v>
      </c>
      <c r="G46" s="23" t="n">
        <f aca="false">C46*E46</f>
        <v>0.0263073979591837</v>
      </c>
      <c r="O46" s="4" t="s">
        <v>164</v>
      </c>
      <c r="P46" s="10" t="n">
        <v>0.560928541059281</v>
      </c>
      <c r="Q46" s="10" t="n">
        <v>0.560905996</v>
      </c>
      <c r="R46" s="4" t="s">
        <v>165</v>
      </c>
    </row>
    <row r="47" customFormat="false" ht="15" hidden="false" customHeight="false" outlineLevel="0" collapsed="false">
      <c r="A47" s="4" t="s">
        <v>56</v>
      </c>
      <c r="B47" s="4" t="n">
        <v>5</v>
      </c>
      <c r="C47" s="34" t="n">
        <f aca="false">INDEX(Inputs!$B$23:$E$23,1,4)</f>
        <v>60</v>
      </c>
      <c r="D47" s="22" t="n">
        <f aca="false">$B$15*($C$15+$C$6)*($D$15+$D$6)*($E$15+$E$6)*($F$15+$F$6)</f>
        <v>29700</v>
      </c>
      <c r="E47" s="24" t="n">
        <f aca="false">D47/$B$19</f>
        <v>0.000250546647230321</v>
      </c>
      <c r="F47" s="35" t="n">
        <f aca="false">IF(E47&gt;0,1/E47,"-")</f>
        <v>3991.27272727273</v>
      </c>
      <c r="G47" s="23" t="n">
        <f aca="false">C47*E47</f>
        <v>0.0150327988338192</v>
      </c>
      <c r="O47" s="4" t="s">
        <v>166</v>
      </c>
      <c r="P47" s="25" t="n">
        <v>0.00829354956268222</v>
      </c>
      <c r="Q47" s="25" t="n">
        <v>0.00829486</v>
      </c>
      <c r="R47" s="4" t="s">
        <v>167</v>
      </c>
    </row>
    <row r="48" customFormat="false" ht="15" hidden="false" customHeight="false" outlineLevel="0" collapsed="false">
      <c r="A48" s="4" t="s">
        <v>57</v>
      </c>
      <c r="B48" s="4" t="n">
        <v>3</v>
      </c>
      <c r="C48" s="34" t="n">
        <f aca="false">INDEX(Inputs!$B$24:$E$24,1,2)</f>
        <v>4</v>
      </c>
      <c r="D48" s="22" t="n">
        <f aca="false">$B$16*($C$16+$C$6)*($D$16+$D$6)*($E$18-($E$16+$E$6))*$F$18</f>
        <v>929280</v>
      </c>
      <c r="E48" s="24" t="n">
        <f aca="false">D48/$B$19</f>
        <v>0.00783932620667315</v>
      </c>
      <c r="F48" s="35" t="n">
        <f aca="false">IF(E48&gt;0,1/E48,"-")</f>
        <v>127.561983471074</v>
      </c>
      <c r="G48" s="23" t="n">
        <f aca="false">C48*E48</f>
        <v>0.0313573048266926</v>
      </c>
      <c r="O48" s="4" t="s">
        <v>168</v>
      </c>
      <c r="P48" s="38" t="n">
        <v>10.6373748403656</v>
      </c>
      <c r="Q48" s="38" t="n">
        <v>10.6363699929836</v>
      </c>
    </row>
    <row r="49" customFormat="false" ht="15" hidden="false" customHeight="false" outlineLevel="0" collapsed="false">
      <c r="A49" s="4" t="s">
        <v>57</v>
      </c>
      <c r="B49" s="4" t="n">
        <v>4</v>
      </c>
      <c r="C49" s="34" t="n">
        <f aca="false">INDEX(Inputs!$B$24:$E$24,1,3)</f>
        <v>10</v>
      </c>
      <c r="D49" s="22" t="n">
        <f aca="false">$B$16*($C$16+$C$6)*($D$16+$D$6)*($E$16+$E$6)*($F$18-($F$16+$F$6))</f>
        <v>239580</v>
      </c>
      <c r="E49" s="24" t="n">
        <f aca="false">D49/$B$19</f>
        <v>0.00202107628765792</v>
      </c>
      <c r="F49" s="35" t="n">
        <f aca="false">IF(E49&gt;0,1/E49,"-")</f>
        <v>494.785875281743</v>
      </c>
      <c r="G49" s="23" t="n">
        <f aca="false">C49*E49</f>
        <v>0.0202107628765792</v>
      </c>
      <c r="O49" s="4" t="s">
        <v>169</v>
      </c>
      <c r="P49" s="38" t="n">
        <v>4.59181022617225</v>
      </c>
      <c r="Q49" s="38" t="n">
        <v>4.58693926069413</v>
      </c>
    </row>
    <row r="50" customFormat="false" ht="15" hidden="false" customHeight="false" outlineLevel="0" collapsed="false">
      <c r="A50" s="4" t="s">
        <v>57</v>
      </c>
      <c r="B50" s="4" t="n">
        <v>5</v>
      </c>
      <c r="C50" s="34" t="n">
        <f aca="false">INDEX(Inputs!$B$24:$E$24,1,4)</f>
        <v>50</v>
      </c>
      <c r="D50" s="22" t="n">
        <f aca="false">$B$16*($C$16+$C$6)*($D$16+$D$6)*($E$16+$E$6)*($F$16+$F$6)</f>
        <v>50820</v>
      </c>
      <c r="E50" s="24" t="n">
        <f aca="false">D50/$B$19</f>
        <v>0.000428713151927438</v>
      </c>
      <c r="F50" s="35" t="n">
        <f aca="false">IF(E50&gt;0,1/E50,"-")</f>
        <v>2332.56198347107</v>
      </c>
      <c r="G50" s="23" t="n">
        <f aca="false">C50*E50</f>
        <v>0.0214356575963719</v>
      </c>
      <c r="O50" s="4" t="s">
        <v>170</v>
      </c>
      <c r="P50" s="38" t="n">
        <v>7.55352782205336</v>
      </c>
      <c r="Q50" s="38" t="n">
        <v>7.54551508384185</v>
      </c>
    </row>
    <row r="51" customFormat="false" ht="15" hidden="false" customHeight="false" outlineLevel="0" collapsed="false">
      <c r="A51" s="4" t="s">
        <v>58</v>
      </c>
      <c r="B51" s="4" t="n">
        <v>3</v>
      </c>
      <c r="C51" s="34" t="n">
        <f aca="false">INDEX(Inputs!$B$25:$E$25,1,2)</f>
        <v>4</v>
      </c>
      <c r="D51" s="22" t="n">
        <f aca="false">$B$17*($C$17+$C$6)*($D$17+$D$6)*($E$18-($E$17+$E$6))*$F$18</f>
        <v>1145760</v>
      </c>
      <c r="E51" s="24" t="n">
        <f aca="false">D51/$B$19</f>
        <v>0.00966553287981859</v>
      </c>
      <c r="F51" s="35" t="n">
        <f aca="false">IF(E51&gt;0,1/E51,"-")</f>
        <v>103.460410557185</v>
      </c>
      <c r="G51" s="23" t="n">
        <f aca="false">C51*E51</f>
        <v>0.0386621315192744</v>
      </c>
      <c r="O51" s="4" t="s">
        <v>171</v>
      </c>
      <c r="P51" s="11" t="n">
        <v>107</v>
      </c>
    </row>
    <row r="52" customFormat="false" ht="15" hidden="false" customHeight="false" outlineLevel="0" collapsed="false">
      <c r="A52" s="4" t="s">
        <v>58</v>
      </c>
      <c r="B52" s="4" t="n">
        <v>4</v>
      </c>
      <c r="C52" s="34" t="n">
        <f aca="false">INDEX(Inputs!$B$25:$E$25,1,3)</f>
        <v>10</v>
      </c>
      <c r="D52" s="22" t="n">
        <f aca="false">$B$17*($C$17+$C$6)*($D$17+$D$6)*($E$17+$E$6)*($F$18-($F$17+$F$6))</f>
        <v>335412</v>
      </c>
      <c r="E52" s="24" t="n">
        <f aca="false">D52/$B$19</f>
        <v>0.00282950680272109</v>
      </c>
      <c r="F52" s="35" t="n">
        <f aca="false">IF(E52&gt;0,1/E52,"-")</f>
        <v>353.418482344102</v>
      </c>
      <c r="G52" s="23" t="n">
        <f aca="false">C52*E52</f>
        <v>0.0282950680272109</v>
      </c>
      <c r="O52" s="4" t="s">
        <v>172</v>
      </c>
      <c r="P52" s="11" t="n">
        <v>241.6</v>
      </c>
    </row>
    <row r="53" customFormat="false" ht="15" hidden="false" customHeight="false" outlineLevel="0" collapsed="false">
      <c r="A53" s="4" t="s">
        <v>58</v>
      </c>
      <c r="B53" s="4" t="n">
        <v>5</v>
      </c>
      <c r="C53" s="34" t="n">
        <f aca="false">INDEX(Inputs!$B$25:$E$25,1,4)</f>
        <v>40</v>
      </c>
      <c r="D53" s="22" t="n">
        <f aca="false">$B$17*($C$17+$C$6)*($D$17+$D$6)*($E$17+$E$6)*($F$17+$F$6)</f>
        <v>71148</v>
      </c>
      <c r="E53" s="24" t="n">
        <f aca="false">D53/$B$19</f>
        <v>0.000600198412698413</v>
      </c>
      <c r="F53" s="35" t="n">
        <f aca="false">IF(E53&gt;0,1/E53,"-")</f>
        <v>1666.11570247934</v>
      </c>
      <c r="G53" s="23" t="n">
        <f aca="false">C53*E53</f>
        <v>0.0240079365079365</v>
      </c>
      <c r="O53" s="4" t="s">
        <v>173</v>
      </c>
      <c r="P53" s="31" t="n">
        <v>1.20615560265325E-045</v>
      </c>
      <c r="Q53" s="31" t="n">
        <v>0</v>
      </c>
      <c r="R53" s="4" t="s">
        <v>174</v>
      </c>
    </row>
    <row r="54" customFormat="false" ht="15" hidden="false" customHeight="false" outlineLevel="0" collapsed="false">
      <c r="A54" s="17" t="s">
        <v>175</v>
      </c>
      <c r="G54" s="29" t="n">
        <f aca="false">SUM(G23:G53)</f>
        <v>0.65948888483965</v>
      </c>
      <c r="O54" s="4" t="s">
        <v>176</v>
      </c>
      <c r="Q54" s="39" t="n">
        <v>762.2</v>
      </c>
    </row>
    <row r="55" customFormat="false" ht="15" hidden="false" customHeight="false" outlineLevel="0" collapsed="false">
      <c r="A55" s="4" t="s">
        <v>177</v>
      </c>
      <c r="G55" s="24" t="n">
        <f aca="false">SUM(E23:E53)</f>
        <v>0.0561507936507937</v>
      </c>
    </row>
    <row r="56" customFormat="false" ht="15" hidden="false" customHeight="false" outlineLevel="0" collapsed="false">
      <c r="O56" s="3" t="s">
        <v>178</v>
      </c>
      <c r="P56" s="3" t="s">
        <v>179</v>
      </c>
      <c r="Q56" s="3" t="s">
        <v>180</v>
      </c>
      <c r="R56" s="3" t="s">
        <v>181</v>
      </c>
    </row>
    <row r="57" customFormat="false" ht="15" hidden="false" customHeight="false" outlineLevel="0" collapsed="false">
      <c r="A57" s="20" t="s">
        <v>182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O57" s="4" t="s">
        <v>183</v>
      </c>
      <c r="P57" s="25" t="n">
        <v>0.439071458940719</v>
      </c>
      <c r="Q57" s="25" t="n">
        <v>0.439094004</v>
      </c>
      <c r="R57" s="40" t="n">
        <v>2.27753359877353</v>
      </c>
    </row>
    <row r="58" customFormat="false" ht="23.85" hidden="false" customHeight="false" outlineLevel="0" collapsed="false">
      <c r="A58" s="3" t="s">
        <v>44</v>
      </c>
      <c r="B58" s="3" t="s">
        <v>129</v>
      </c>
      <c r="C58" s="3" t="s">
        <v>130</v>
      </c>
      <c r="D58" s="3" t="s">
        <v>131</v>
      </c>
      <c r="E58" s="3" t="s">
        <v>132</v>
      </c>
      <c r="F58" s="3" t="s">
        <v>133</v>
      </c>
      <c r="G58" s="3" t="s">
        <v>134</v>
      </c>
      <c r="O58" s="4" t="s">
        <v>184</v>
      </c>
      <c r="P58" s="25" t="n">
        <v>0.359273465338516</v>
      </c>
      <c r="Q58" s="25" t="n">
        <v>0.359260292</v>
      </c>
      <c r="R58" s="40" t="n">
        <v>2.78339509169645</v>
      </c>
    </row>
    <row r="59" customFormat="false" ht="15" hidden="false" customHeight="false" outlineLevel="0" collapsed="false">
      <c r="A59" s="4" t="s">
        <v>49</v>
      </c>
      <c r="B59" s="4" t="n">
        <v>2</v>
      </c>
      <c r="C59" s="34" t="n">
        <f aca="false">INDEX(Inputs!$B$16:$E$16,1,1)</f>
        <v>2</v>
      </c>
      <c r="D59" s="22" t="n">
        <f aca="false">$H$8*($I$8+$I$6)*($J$18-($J$8+$J$6))*$K$18*$L$18</f>
        <v>436968</v>
      </c>
      <c r="E59" s="24" t="n">
        <f aca="false">D59/$H$19</f>
        <v>0.00961734174638714</v>
      </c>
      <c r="F59" s="35" t="n">
        <f aca="false">IF(E59&gt;0,1/E59,"-")</f>
        <v>103.978835978836</v>
      </c>
      <c r="G59" s="23" t="n">
        <f aca="false">C59*E59</f>
        <v>0.0192346834927743</v>
      </c>
      <c r="O59" s="4" t="s">
        <v>185</v>
      </c>
      <c r="P59" s="25" t="n">
        <v>0.102067650969118</v>
      </c>
      <c r="Q59" s="25" t="n">
        <v>0.102066368</v>
      </c>
      <c r="R59" s="40" t="n">
        <v>9.79742347849826</v>
      </c>
    </row>
    <row r="60" customFormat="false" ht="15" hidden="false" customHeight="false" outlineLevel="0" collapsed="false">
      <c r="A60" s="4" t="s">
        <v>49</v>
      </c>
      <c r="B60" s="4" t="n">
        <v>3</v>
      </c>
      <c r="C60" s="34" t="n">
        <f aca="false">INDEX(Inputs!$B$16:$E$16,1,2)</f>
        <v>50</v>
      </c>
      <c r="D60" s="22" t="n">
        <f aca="false">$H$8*($I$8+$I$6)*($J$8+$J$6)*($K$18-($K$8+$K$6))*$L$18</f>
        <v>89964</v>
      </c>
      <c r="E60" s="24" t="n">
        <f aca="false">D60/$H$19</f>
        <v>0.00198004094778559</v>
      </c>
      <c r="F60" s="35" t="n">
        <f aca="false">IF(E60&gt;0,1/E60,"-")</f>
        <v>505.040060468632</v>
      </c>
      <c r="G60" s="23" t="n">
        <f aca="false">C60*E60</f>
        <v>0.0990020473892793</v>
      </c>
      <c r="O60" s="4" t="s">
        <v>186</v>
      </c>
      <c r="P60" s="25" t="n">
        <v>0.0728761974983006</v>
      </c>
      <c r="Q60" s="25" t="n">
        <v>0.072862668</v>
      </c>
      <c r="R60" s="40" t="n">
        <v>13.7219014483202</v>
      </c>
    </row>
    <row r="61" customFormat="false" ht="15" hidden="false" customHeight="false" outlineLevel="0" collapsed="false">
      <c r="A61" s="4" t="s">
        <v>49</v>
      </c>
      <c r="B61" s="4" t="n">
        <v>4</v>
      </c>
      <c r="C61" s="34" t="n">
        <f aca="false">INDEX(Inputs!$B$16:$E$16,1,3)</f>
        <v>250</v>
      </c>
      <c r="D61" s="22" t="n">
        <f aca="false">$H$8*($I$8+$I$6)*($J$8+$J$6)*($K$8+$K$6)*($L$18-($L$8+$L$6))</f>
        <v>21952</v>
      </c>
      <c r="E61" s="24" t="n">
        <f aca="false">D61/$H$19</f>
        <v>0.000483147246518487</v>
      </c>
      <c r="F61" s="35" t="n">
        <f aca="false">IF(E61&gt;0,1/E61,"-")</f>
        <v>2069.76239067055</v>
      </c>
      <c r="G61" s="23" t="n">
        <f aca="false">C61*E61</f>
        <v>0.120786811629622</v>
      </c>
      <c r="O61" s="4" t="s">
        <v>187</v>
      </c>
      <c r="P61" s="25" t="n">
        <v>0.0154056717607679</v>
      </c>
      <c r="Q61" s="25" t="n">
        <v>0.015408568</v>
      </c>
      <c r="R61" s="40" t="n">
        <v>64.9111584050881</v>
      </c>
    </row>
    <row r="62" customFormat="false" ht="15" hidden="false" customHeight="false" outlineLevel="0" collapsed="false">
      <c r="A62" s="4" t="s">
        <v>49</v>
      </c>
      <c r="B62" s="4" t="n">
        <v>5</v>
      </c>
      <c r="C62" s="34" t="n">
        <f aca="false">INDEX(Inputs!$B$16:$E$16,1,4)</f>
        <v>1000</v>
      </c>
      <c r="D62" s="22" t="n">
        <f aca="false">$H$8*($I$8+$I$6)*($J$8+$J$6)*($K$8+$K$6)*($L$8+$L$6)</f>
        <v>1372</v>
      </c>
      <c r="E62" s="24" t="n">
        <f aca="false">D62/$H$19</f>
        <v>3.01967029074055E-005</v>
      </c>
      <c r="F62" s="35" t="n">
        <f aca="false">IF(E62&gt;0,1/E62,"-")</f>
        <v>33116.1982507289</v>
      </c>
      <c r="G62" s="23" t="n">
        <f aca="false">C62*E62</f>
        <v>0.0301967029074055</v>
      </c>
      <c r="O62" s="4" t="s">
        <v>188</v>
      </c>
      <c r="P62" s="25" t="n">
        <v>0.00515646795592106</v>
      </c>
      <c r="Q62" s="25" t="n">
        <v>0.005159544</v>
      </c>
      <c r="R62" s="40" t="n">
        <v>193.931196421326</v>
      </c>
    </row>
    <row r="63" customFormat="false" ht="15" hidden="false" customHeight="false" outlineLevel="0" collapsed="false">
      <c r="A63" s="4" t="s">
        <v>50</v>
      </c>
      <c r="B63" s="4" t="n">
        <v>3</v>
      </c>
      <c r="C63" s="34" t="n">
        <f aca="false">INDEX(Inputs!$B$17:$E$17,1,2)</f>
        <v>30</v>
      </c>
      <c r="D63" s="22" t="n">
        <f aca="false">$H$9*($I$9+$I$6)*($J$9+$J$6)*($K$18-($K$9+$K$6))*$L$18</f>
        <v>89964</v>
      </c>
      <c r="E63" s="24" t="n">
        <f aca="false">D63/$H$19</f>
        <v>0.00198004094778559</v>
      </c>
      <c r="F63" s="35" t="n">
        <f aca="false">IF(E63&gt;0,1/E63,"-")</f>
        <v>505.040060468632</v>
      </c>
      <c r="G63" s="23" t="n">
        <f aca="false">C63*E63</f>
        <v>0.0594012284335676</v>
      </c>
      <c r="O63" s="4" t="s">
        <v>189</v>
      </c>
      <c r="P63" s="25" t="n">
        <v>0.00428306270606484</v>
      </c>
      <c r="Q63" s="25" t="n">
        <v>0.004281648</v>
      </c>
      <c r="R63" s="40" t="n">
        <v>233.477786487691</v>
      </c>
    </row>
    <row r="64" customFormat="false" ht="15" hidden="false" customHeight="false" outlineLevel="0" collapsed="false">
      <c r="A64" s="4" t="s">
        <v>50</v>
      </c>
      <c r="B64" s="4" t="n">
        <v>4</v>
      </c>
      <c r="C64" s="34" t="n">
        <f aca="false">INDEX(Inputs!$B$17:$E$17,1,3)</f>
        <v>120</v>
      </c>
      <c r="D64" s="22" t="n">
        <f aca="false">$H$9*($I$9+$I$6)*($J$9+$J$6)*($K$9+$K$6)*($L$18-($L$9+$L$6))</f>
        <v>21952</v>
      </c>
      <c r="E64" s="24" t="n">
        <f aca="false">D64/$H$19</f>
        <v>0.000483147246518487</v>
      </c>
      <c r="F64" s="35" t="n">
        <f aca="false">IF(E64&gt;0,1/E64,"-")</f>
        <v>2069.76239067055</v>
      </c>
      <c r="G64" s="23" t="n">
        <f aca="false">C64*E64</f>
        <v>0.0579776695822185</v>
      </c>
      <c r="O64" s="4" t="s">
        <v>190</v>
      </c>
      <c r="P64" s="25" t="n">
        <v>0.00153342510712546</v>
      </c>
      <c r="Q64" s="25" t="n">
        <v>0.0015353</v>
      </c>
      <c r="R64" s="40" t="n">
        <v>652.134881158031</v>
      </c>
    </row>
    <row r="65" customFormat="false" ht="15" hidden="false" customHeight="false" outlineLevel="0" collapsed="false">
      <c r="A65" s="4" t="s">
        <v>50</v>
      </c>
      <c r="B65" s="4" t="n">
        <v>5</v>
      </c>
      <c r="C65" s="34" t="n">
        <f aca="false">INDEX(Inputs!$B$17:$E$17,1,4)</f>
        <v>500</v>
      </c>
      <c r="D65" s="22" t="n">
        <f aca="false">$H$9*($I$9+$I$6)*($J$9+$J$6)*($K$9+$K$6)*($L$9+$L$6)</f>
        <v>1372</v>
      </c>
      <c r="E65" s="24" t="n">
        <f aca="false">D65/$H$19</f>
        <v>3.01967029074055E-005</v>
      </c>
      <c r="F65" s="35" t="n">
        <f aca="false">IF(E65&gt;0,1/E65,"-")</f>
        <v>33116.1982507289</v>
      </c>
      <c r="G65" s="23" t="n">
        <f aca="false">C65*E65</f>
        <v>0.0150983514537027</v>
      </c>
      <c r="O65" s="4" t="s">
        <v>191</v>
      </c>
      <c r="P65" s="25" t="n">
        <v>0.000317564832503281</v>
      </c>
      <c r="Q65" s="25" t="n">
        <v>0.000316864</v>
      </c>
      <c r="R65" s="40" t="n">
        <v>3148.96329079408</v>
      </c>
    </row>
    <row r="66" customFormat="false" ht="15" hidden="false" customHeight="false" outlineLevel="0" collapsed="false">
      <c r="A66" s="4" t="s">
        <v>51</v>
      </c>
      <c r="B66" s="4" t="n">
        <v>3</v>
      </c>
      <c r="C66" s="34" t="n">
        <f aca="false">INDEX(Inputs!$B$18:$E$18,1,2)</f>
        <v>20</v>
      </c>
      <c r="D66" s="22" t="n">
        <f aca="false">$H$10*($I$10+$I$6)*($J$10+$J$6)*($K$18-($K$10+$K$6))*$L$18</f>
        <v>134946</v>
      </c>
      <c r="E66" s="24" t="n">
        <f aca="false">D66/$H$19</f>
        <v>0.00297006142167838</v>
      </c>
      <c r="F66" s="35" t="n">
        <f aca="false">IF(E66&gt;0,1/E66,"-")</f>
        <v>336.693373645755</v>
      </c>
      <c r="G66" s="23" t="n">
        <f aca="false">C66*E66</f>
        <v>0.0594012284335676</v>
      </c>
      <c r="O66" s="4" t="s">
        <v>192</v>
      </c>
      <c r="P66" s="25" t="n">
        <v>1.4750197743341E-005</v>
      </c>
      <c r="Q66" s="25" t="n">
        <v>1.4436E-005</v>
      </c>
      <c r="R66" s="40" t="n">
        <v>67795.7012780693</v>
      </c>
    </row>
    <row r="67" customFormat="false" ht="15" hidden="false" customHeight="false" outlineLevel="0" collapsed="false">
      <c r="A67" s="4" t="s">
        <v>51</v>
      </c>
      <c r="B67" s="4" t="n">
        <v>4</v>
      </c>
      <c r="C67" s="34" t="n">
        <f aca="false">INDEX(Inputs!$B$18:$E$18,1,3)</f>
        <v>80</v>
      </c>
      <c r="D67" s="22" t="n">
        <f aca="false">$H$10*($I$10+$I$6)*($J$10+$J$6)*($K$10+$K$6)*($L$18-($L$10+$L$6))</f>
        <v>31899</v>
      </c>
      <c r="E67" s="24" t="n">
        <f aca="false">D67/$H$19</f>
        <v>0.000702073342597177</v>
      </c>
      <c r="F67" s="35" t="n">
        <f aca="false">IF(E67&gt;0,1/E67,"-")</f>
        <v>1424.35261293457</v>
      </c>
      <c r="G67" s="23" t="n">
        <f aca="false">C67*E67</f>
        <v>0.0561658674077742</v>
      </c>
      <c r="O67" s="4" t="s">
        <v>193</v>
      </c>
      <c r="P67" s="25" t="n">
        <v>2.84677572684553E-007</v>
      </c>
      <c r="Q67" s="25" t="n">
        <v>3.08E-007</v>
      </c>
      <c r="R67" s="40" t="n">
        <v>3512745.98335882</v>
      </c>
    </row>
    <row r="68" customFormat="false" ht="15" hidden="false" customHeight="false" outlineLevel="0" collapsed="false">
      <c r="A68" s="4" t="s">
        <v>51</v>
      </c>
      <c r="B68" s="4" t="n">
        <v>5</v>
      </c>
      <c r="C68" s="34" t="n">
        <f aca="false">INDEX(Inputs!$B$18:$E$18,1,4)</f>
        <v>300</v>
      </c>
      <c r="D68" s="22" t="n">
        <f aca="false">$H$10*($I$10+$I$6)*($J$10+$J$6)*($K$10+$K$6)*($L$10+$L$6)</f>
        <v>3087</v>
      </c>
      <c r="E68" s="24" t="n">
        <f aca="false">D68/$H$19</f>
        <v>6.79425815416623E-005</v>
      </c>
      <c r="F68" s="35" t="n">
        <f aca="false">IF(E68&gt;0,1/E68,"-")</f>
        <v>14718.3103336573</v>
      </c>
      <c r="G68" s="23" t="n">
        <f aca="false">C68*E68</f>
        <v>0.0203827744624987</v>
      </c>
      <c r="O68" s="4" t="s">
        <v>194</v>
      </c>
      <c r="P68" s="25" t="n">
        <v>1.56474764072536E-011</v>
      </c>
      <c r="Q68" s="25" t="n">
        <v>0</v>
      </c>
      <c r="R68" s="40" t="n">
        <v>63908068877.895</v>
      </c>
    </row>
    <row r="69" customFormat="false" ht="15" hidden="false" customHeight="false" outlineLevel="0" collapsed="false">
      <c r="A69" s="4" t="s">
        <v>52</v>
      </c>
      <c r="B69" s="4" t="n">
        <v>3</v>
      </c>
      <c r="C69" s="34" t="n">
        <f aca="false">INDEX(Inputs!$B$19:$E$19,1,2)</f>
        <v>15</v>
      </c>
      <c r="D69" s="22" t="n">
        <f aca="false">$H$11*($I$11+$I$6)*($J$11+$J$6)*($K$18-($K$11+$K$6))*$L$18</f>
        <v>169728</v>
      </c>
      <c r="E69" s="24" t="n">
        <f aca="false">D69/$H$19</f>
        <v>0.00373558745704673</v>
      </c>
      <c r="F69" s="35" t="n">
        <f aca="false">IF(E69&gt;0,1/E69,"-")</f>
        <v>267.695512820513</v>
      </c>
      <c r="G69" s="23" t="n">
        <f aca="false">C69*E69</f>
        <v>0.056033811855701</v>
      </c>
      <c r="O69" s="4" t="s">
        <v>195</v>
      </c>
      <c r="P69" s="25" t="n">
        <v>3.84998724105406E-024</v>
      </c>
      <c r="Q69" s="25" t="n">
        <v>0</v>
      </c>
      <c r="R69" s="40" t="n">
        <v>2.59741120525433E+023</v>
      </c>
    </row>
    <row r="70" customFormat="false" ht="15" hidden="false" customHeight="false" outlineLevel="0" collapsed="false">
      <c r="A70" s="4" t="s">
        <v>52</v>
      </c>
      <c r="B70" s="4" t="n">
        <v>4</v>
      </c>
      <c r="C70" s="34" t="n">
        <f aca="false">INDEX(Inputs!$B$19:$E$19,1,3)</f>
        <v>50</v>
      </c>
      <c r="D70" s="22" t="n">
        <f aca="false">$H$11*($I$11+$I$6)*($J$11+$J$6)*($K$11+$K$6)*($L$18-($L$11+$L$6))</f>
        <v>47616</v>
      </c>
      <c r="E70" s="24" t="n">
        <f aca="false">D70/$H$19</f>
        <v>0.00104799286125293</v>
      </c>
      <c r="F70" s="35" t="n">
        <f aca="false">IF(E70&gt;0,1/E70,"-")</f>
        <v>954.20497311828</v>
      </c>
      <c r="G70" s="23" t="n">
        <f aca="false">C70*E70</f>
        <v>0.0523996430626464</v>
      </c>
      <c r="O70" s="4" t="s">
        <v>196</v>
      </c>
      <c r="P70" s="25" t="n">
        <v>1.20615560265325E-045</v>
      </c>
      <c r="Q70" s="25" t="n">
        <v>0</v>
      </c>
      <c r="R70" s="40" t="n">
        <v>8.29080425278667E+044</v>
      </c>
    </row>
    <row r="71" customFormat="false" ht="15" hidden="false" customHeight="false" outlineLevel="0" collapsed="false">
      <c r="A71" s="4" t="s">
        <v>52</v>
      </c>
      <c r="B71" s="4" t="n">
        <v>5</v>
      </c>
      <c r="C71" s="34" t="n">
        <f aca="false">INDEX(Inputs!$B$19:$E$19,1,4)</f>
        <v>150</v>
      </c>
      <c r="D71" s="22" t="n">
        <f aca="false">$H$11*($I$11+$I$6)*($J$11+$J$6)*($K$11+$K$6)*($L$11+$L$6)</f>
        <v>4608</v>
      </c>
      <c r="E71" s="24" t="n">
        <f aca="false">D71/$H$19</f>
        <v>0.000101418663992219</v>
      </c>
      <c r="F71" s="35" t="n">
        <f aca="false">IF(E71&gt;0,1/E71,"-")</f>
        <v>9860.11805555556</v>
      </c>
      <c r="G71" s="23" t="n">
        <f aca="false">C71*E71</f>
        <v>0.0152127995988328</v>
      </c>
    </row>
    <row r="72" customFormat="false" ht="15" hidden="false" customHeight="false" outlineLevel="0" collapsed="false">
      <c r="A72" s="4" t="s">
        <v>53</v>
      </c>
      <c r="B72" s="4" t="n">
        <v>3</v>
      </c>
      <c r="C72" s="34" t="n">
        <f aca="false">INDEX(Inputs!$B$20:$E$20,1,2)</f>
        <v>10</v>
      </c>
      <c r="D72" s="22" t="n">
        <f aca="false">$H$12*($I$12+$I$6)*($J$12+$J$6)*($K$18-($K$12+$K$6))*$L$18</f>
        <v>169728</v>
      </c>
      <c r="E72" s="24" t="n">
        <f aca="false">D72/$H$19</f>
        <v>0.00373558745704673</v>
      </c>
      <c r="F72" s="35" t="n">
        <f aca="false">IF(E72&gt;0,1/E72,"-")</f>
        <v>267.695512820513</v>
      </c>
      <c r="G72" s="23" t="n">
        <f aca="false">C72*E72</f>
        <v>0.0373558745704673</v>
      </c>
      <c r="O72" s="3" t="s">
        <v>197</v>
      </c>
      <c r="P72" s="3" t="s">
        <v>198</v>
      </c>
      <c r="Q72" s="3" t="s">
        <v>199</v>
      </c>
      <c r="R72" s="3" t="s">
        <v>200</v>
      </c>
    </row>
    <row r="73" customFormat="false" ht="15" hidden="false" customHeight="false" outlineLevel="0" collapsed="false">
      <c r="A73" s="4" t="s">
        <v>53</v>
      </c>
      <c r="B73" s="4" t="n">
        <v>4</v>
      </c>
      <c r="C73" s="34" t="n">
        <f aca="false">INDEX(Inputs!$B$20:$E$20,1,3)</f>
        <v>40</v>
      </c>
      <c r="D73" s="22" t="n">
        <f aca="false">$H$12*($I$12+$I$6)*($J$12+$J$6)*($K$12+$K$6)*($L$18-($L$12+$L$6))</f>
        <v>47616</v>
      </c>
      <c r="E73" s="24" t="n">
        <f aca="false">D73/$H$19</f>
        <v>0.00104799286125293</v>
      </c>
      <c r="F73" s="35" t="n">
        <f aca="false">IF(E73&gt;0,1/E73,"-")</f>
        <v>954.20497311828</v>
      </c>
      <c r="G73" s="23" t="n">
        <f aca="false">C73*E73</f>
        <v>0.0419197144501172</v>
      </c>
      <c r="O73" s="41" t="n">
        <v>1000</v>
      </c>
      <c r="P73" s="36" t="n">
        <f aca="false">1.645*P49/SQRT(O73)</f>
        <v>0.238863522871396</v>
      </c>
      <c r="Q73" s="36" t="n">
        <f aca="false">1.96*P49/SQRT(O73)</f>
        <v>0.284603346399962</v>
      </c>
      <c r="R73" s="4" t="str">
        <f aca="false">TEXT(P20-Q73,"0.00%")&amp;" – "&amp;TEXT(P20+Q73,"0.00%")</f>
        <v>67.54% – 124.46%</v>
      </c>
    </row>
    <row r="74" customFormat="false" ht="15" hidden="false" customHeight="false" outlineLevel="0" collapsed="false">
      <c r="A74" s="4" t="s">
        <v>53</v>
      </c>
      <c r="B74" s="4" t="n">
        <v>5</v>
      </c>
      <c r="C74" s="34" t="n">
        <f aca="false">INDEX(Inputs!$B$20:$E$20,1,4)</f>
        <v>125</v>
      </c>
      <c r="D74" s="22" t="n">
        <f aca="false">$H$12*($I$12+$I$6)*($J$12+$J$6)*($K$12+$K$6)*($L$12+$L$6)</f>
        <v>4608</v>
      </c>
      <c r="E74" s="24" t="n">
        <f aca="false">D74/$H$19</f>
        <v>0.000101418663992219</v>
      </c>
      <c r="F74" s="35" t="n">
        <f aca="false">IF(E74&gt;0,1/E74,"-")</f>
        <v>9860.11805555556</v>
      </c>
      <c r="G74" s="23" t="n">
        <f aca="false">C74*E74</f>
        <v>0.0126773329990274</v>
      </c>
      <c r="O74" s="41" t="n">
        <v>10000</v>
      </c>
      <c r="P74" s="36" t="n">
        <f aca="false">1.645*P49/SQRT(O74)</f>
        <v>0.0755352782205336</v>
      </c>
      <c r="Q74" s="36" t="n">
        <f aca="false">1.96*P49/SQRT(O74)</f>
        <v>0.0899994804329762</v>
      </c>
      <c r="R74" s="4" t="str">
        <f aca="false">TEXT(P20-Q74,"0.00%")&amp;" – "&amp;TEXT(P20+Q74,"0.00%")</f>
        <v>87.00% – 105.00%</v>
      </c>
    </row>
    <row r="75" customFormat="false" ht="15" hidden="false" customHeight="false" outlineLevel="0" collapsed="false">
      <c r="A75" s="4" t="s">
        <v>54</v>
      </c>
      <c r="B75" s="4" t="n">
        <v>3</v>
      </c>
      <c r="C75" s="34" t="n">
        <f aca="false">INDEX(Inputs!$B$21:$E$21,1,2)</f>
        <v>5</v>
      </c>
      <c r="D75" s="22" t="n">
        <f aca="false">$H$13*($I$13+$I$6)*($J$13+$J$6)*($K$18-($K$13+$K$6))*$L$18</f>
        <v>169728</v>
      </c>
      <c r="E75" s="24" t="n">
        <f aca="false">D75/$H$19</f>
        <v>0.00373558745704673</v>
      </c>
      <c r="F75" s="35" t="n">
        <f aca="false">IF(E75&gt;0,1/E75,"-")</f>
        <v>267.695512820513</v>
      </c>
      <c r="G75" s="23" t="n">
        <f aca="false">C75*E75</f>
        <v>0.0186779372852337</v>
      </c>
      <c r="O75" s="41" t="n">
        <v>100000</v>
      </c>
      <c r="P75" s="36" t="n">
        <f aca="false">1.645*P49/SQRT(O75)</f>
        <v>0.0238863522871396</v>
      </c>
      <c r="Q75" s="36" t="n">
        <f aca="false">1.96*P49/SQRT(O75)</f>
        <v>0.0284603346399962</v>
      </c>
      <c r="R75" s="4" t="str">
        <f aca="false">TEXT(P20-Q75,"0.00%")&amp;" – "&amp;TEXT(P20+Q75,"0.00%")</f>
        <v>93.15% – 98.85%</v>
      </c>
    </row>
    <row r="76" customFormat="false" ht="15" hidden="false" customHeight="false" outlineLevel="0" collapsed="false">
      <c r="A76" s="4" t="s">
        <v>54</v>
      </c>
      <c r="B76" s="4" t="n">
        <v>4</v>
      </c>
      <c r="C76" s="34" t="n">
        <f aca="false">INDEX(Inputs!$B$21:$E$21,1,3)</f>
        <v>25</v>
      </c>
      <c r="D76" s="22" t="n">
        <f aca="false">$H$13*($I$13+$I$6)*($J$13+$J$6)*($K$13+$K$6)*($L$18-($L$13+$L$6))</f>
        <v>47616</v>
      </c>
      <c r="E76" s="24" t="n">
        <f aca="false">D76/$H$19</f>
        <v>0.00104799286125293</v>
      </c>
      <c r="F76" s="35" t="n">
        <f aca="false">IF(E76&gt;0,1/E76,"-")</f>
        <v>954.20497311828</v>
      </c>
      <c r="G76" s="23" t="n">
        <f aca="false">C76*E76</f>
        <v>0.0261998215313232</v>
      </c>
      <c r="O76" s="41" t="n">
        <v>1000000</v>
      </c>
      <c r="P76" s="36" t="n">
        <f aca="false">1.645*P49/SQRT(O76)</f>
        <v>0.00755352782205336</v>
      </c>
      <c r="Q76" s="36" t="n">
        <f aca="false">1.96*P49/SQRT(O76)</f>
        <v>0.00899994804329761</v>
      </c>
      <c r="R76" s="4" t="str">
        <f aca="false">TEXT(P20-Q76,"0.00%")&amp;" – "&amp;TEXT(P20+Q76,"0.00%")</f>
        <v>95.10% – 96.90%</v>
      </c>
    </row>
    <row r="77" customFormat="false" ht="15" hidden="false" customHeight="false" outlineLevel="0" collapsed="false">
      <c r="A77" s="4" t="s">
        <v>54</v>
      </c>
      <c r="B77" s="4" t="n">
        <v>5</v>
      </c>
      <c r="C77" s="34" t="n">
        <f aca="false">INDEX(Inputs!$B$21:$E$21,1,4)</f>
        <v>100</v>
      </c>
      <c r="D77" s="22" t="n">
        <f aca="false">$H$13*($I$13+$I$6)*($J$13+$J$6)*($K$13+$K$6)*($L$13+$L$6)</f>
        <v>4608</v>
      </c>
      <c r="E77" s="24" t="n">
        <f aca="false">D77/$H$19</f>
        <v>0.000101418663992219</v>
      </c>
      <c r="F77" s="35" t="n">
        <f aca="false">IF(E77&gt;0,1/E77,"-")</f>
        <v>9860.11805555556</v>
      </c>
      <c r="G77" s="23" t="n">
        <f aca="false">C77*E77</f>
        <v>0.0101418663992219</v>
      </c>
      <c r="O77" s="41" t="n">
        <v>10000000</v>
      </c>
      <c r="P77" s="36" t="n">
        <f aca="false">1.645*P49/SQRT(O77)</f>
        <v>0.00238863522871396</v>
      </c>
      <c r="Q77" s="36" t="n">
        <f aca="false">1.96*P49/SQRT(O77)</f>
        <v>0.00284603346399962</v>
      </c>
      <c r="R77" s="4" t="str">
        <f aca="false">TEXT(P20-Q77,"0.00%")&amp;" – "&amp;TEXT(P20+Q77,"0.00%")</f>
        <v>95.72% – 96.29%</v>
      </c>
    </row>
    <row r="78" customFormat="false" ht="15" hidden="false" customHeight="false" outlineLevel="0" collapsed="false">
      <c r="A78" s="4" t="s">
        <v>55</v>
      </c>
      <c r="B78" s="4" t="n">
        <v>3</v>
      </c>
      <c r="C78" s="34" t="n">
        <f aca="false">INDEX(Inputs!$B$22:$E$22,1,2)</f>
        <v>5</v>
      </c>
      <c r="D78" s="22" t="n">
        <f aca="false">$H$14*($I$14+$I$6)*($J$14+$J$6)*($K$18-($K$14+$K$6))*$L$18</f>
        <v>226304</v>
      </c>
      <c r="E78" s="24" t="n">
        <f aca="false">D78/$H$19</f>
        <v>0.00498078327606231</v>
      </c>
      <c r="F78" s="35" t="n">
        <f aca="false">IF(E78&gt;0,1/E78,"-")</f>
        <v>200.771634615385</v>
      </c>
      <c r="G78" s="23" t="n">
        <f aca="false">C78*E78</f>
        <v>0.0249039163803115</v>
      </c>
      <c r="O78" s="41" t="n">
        <v>100000000</v>
      </c>
      <c r="P78" s="36" t="n">
        <f aca="false">1.645*P49/SQRT(O78)</f>
        <v>0.000755352782205336</v>
      </c>
      <c r="Q78" s="36" t="n">
        <f aca="false">1.96*P49/SQRT(O78)</f>
        <v>0.000899994804329761</v>
      </c>
      <c r="R78" s="4" t="str">
        <f aca="false">TEXT(P20-Q78,"0.00%")&amp;" – "&amp;TEXT(P20+Q78,"0.00%")</f>
        <v>95.91% – 96.09%</v>
      </c>
    </row>
    <row r="79" customFormat="false" ht="15" hidden="false" customHeight="false" outlineLevel="0" collapsed="false">
      <c r="A79" s="4" t="s">
        <v>55</v>
      </c>
      <c r="B79" s="4" t="n">
        <v>4</v>
      </c>
      <c r="C79" s="34" t="n">
        <f aca="false">INDEX(Inputs!$B$22:$E$22,1,3)</f>
        <v>20</v>
      </c>
      <c r="D79" s="22" t="n">
        <f aca="false">$H$14*($I$14+$I$6)*($J$14+$J$6)*($K$14+$K$6)*($L$18-($L$14+$L$6))</f>
        <v>61440</v>
      </c>
      <c r="E79" s="24" t="n">
        <f aca="false">D79/$H$19</f>
        <v>0.00135224885322959</v>
      </c>
      <c r="F79" s="35" t="n">
        <f aca="false">IF(E79&gt;0,1/E79,"-")</f>
        <v>739.508854166667</v>
      </c>
      <c r="G79" s="23" t="n">
        <f aca="false">C79*E79</f>
        <v>0.0270449770645917</v>
      </c>
    </row>
    <row r="80" customFormat="false" ht="15" hidden="false" customHeight="false" outlineLevel="0" collapsed="false">
      <c r="A80" s="4" t="s">
        <v>55</v>
      </c>
      <c r="B80" s="4" t="n">
        <v>5</v>
      </c>
      <c r="C80" s="34" t="n">
        <f aca="false">INDEX(Inputs!$B$22:$E$22,1,4)</f>
        <v>80</v>
      </c>
      <c r="D80" s="22" t="n">
        <f aca="false">$H$14*($I$14+$I$6)*($J$14+$J$6)*($K$14+$K$6)*($L$14+$L$6)</f>
        <v>8192</v>
      </c>
      <c r="E80" s="24" t="n">
        <f aca="false">D80/$H$19</f>
        <v>0.000180299847097278</v>
      </c>
      <c r="F80" s="35" t="n">
        <f aca="false">IF(E80&gt;0,1/E80,"-")</f>
        <v>5546.31640625</v>
      </c>
      <c r="G80" s="23" t="n">
        <f aca="false">C80*E80</f>
        <v>0.0144239877677822</v>
      </c>
    </row>
    <row r="81" customFormat="false" ht="15" hidden="false" customHeight="false" outlineLevel="0" collapsed="false">
      <c r="A81" s="4" t="s">
        <v>56</v>
      </c>
      <c r="B81" s="4" t="n">
        <v>3</v>
      </c>
      <c r="C81" s="34" t="n">
        <f aca="false">INDEX(Inputs!$B$23:$E$23,1,2)</f>
        <v>5</v>
      </c>
      <c r="D81" s="22" t="n">
        <f aca="false">$H$15*($I$15+$I$6)*($J$15+$J$6)*($K$18-($K$15+$K$6))*$L$18</f>
        <v>226304</v>
      </c>
      <c r="E81" s="24" t="n">
        <f aca="false">D81/$H$19</f>
        <v>0.00498078327606231</v>
      </c>
      <c r="F81" s="35" t="n">
        <f aca="false">IF(E81&gt;0,1/E81,"-")</f>
        <v>200.771634615385</v>
      </c>
      <c r="G81" s="23" t="n">
        <f aca="false">C81*E81</f>
        <v>0.0249039163803115</v>
      </c>
    </row>
    <row r="82" customFormat="false" ht="15" hidden="false" customHeight="false" outlineLevel="0" collapsed="false">
      <c r="A82" s="4" t="s">
        <v>56</v>
      </c>
      <c r="B82" s="4" t="n">
        <v>4</v>
      </c>
      <c r="C82" s="34" t="n">
        <f aca="false">INDEX(Inputs!$B$23:$E$23,1,3)</f>
        <v>15</v>
      </c>
      <c r="D82" s="22" t="n">
        <f aca="false">$H$15*($I$15+$I$6)*($J$15+$J$6)*($K$15+$K$6)*($L$18-($L$15+$L$6))</f>
        <v>61440</v>
      </c>
      <c r="E82" s="24" t="n">
        <f aca="false">D82/$H$19</f>
        <v>0.00135224885322959</v>
      </c>
      <c r="F82" s="35" t="n">
        <f aca="false">IF(E82&gt;0,1/E82,"-")</f>
        <v>739.508854166667</v>
      </c>
      <c r="G82" s="23" t="n">
        <f aca="false">C82*E82</f>
        <v>0.0202837327984438</v>
      </c>
    </row>
    <row r="83" customFormat="false" ht="15" hidden="false" customHeight="false" outlineLevel="0" collapsed="false">
      <c r="A83" s="4" t="s">
        <v>56</v>
      </c>
      <c r="B83" s="4" t="n">
        <v>5</v>
      </c>
      <c r="C83" s="34" t="n">
        <f aca="false">INDEX(Inputs!$B$23:$E$23,1,4)</f>
        <v>60</v>
      </c>
      <c r="D83" s="22" t="n">
        <f aca="false">$H$15*($I$15+$I$6)*($J$15+$J$6)*($K$15+$K$6)*($L$15+$L$6)</f>
        <v>8192</v>
      </c>
      <c r="E83" s="24" t="n">
        <f aca="false">D83/$H$19</f>
        <v>0.000180299847097278</v>
      </c>
      <c r="F83" s="35" t="n">
        <f aca="false">IF(E83&gt;0,1/E83,"-")</f>
        <v>5546.31640625</v>
      </c>
      <c r="G83" s="23" t="n">
        <f aca="false">C83*E83</f>
        <v>0.0108179908258367</v>
      </c>
    </row>
    <row r="84" customFormat="false" ht="15" hidden="false" customHeight="false" outlineLevel="0" collapsed="false">
      <c r="A84" s="4" t="s">
        <v>57</v>
      </c>
      <c r="B84" s="4" t="n">
        <v>3</v>
      </c>
      <c r="C84" s="34" t="n">
        <f aca="false">INDEX(Inputs!$B$24:$E$24,1,2)</f>
        <v>4</v>
      </c>
      <c r="D84" s="22" t="n">
        <f aca="false">$H$16*($I$16+$I$6)*($J$16+$J$6)*($K$18-($K$16+$K$6))*$L$18</f>
        <v>226304</v>
      </c>
      <c r="E84" s="24" t="n">
        <f aca="false">D84/$H$19</f>
        <v>0.00498078327606231</v>
      </c>
      <c r="F84" s="35" t="n">
        <f aca="false">IF(E84&gt;0,1/E84,"-")</f>
        <v>200.771634615385</v>
      </c>
      <c r="G84" s="23" t="n">
        <f aca="false">C84*E84</f>
        <v>0.0199231331042492</v>
      </c>
    </row>
    <row r="85" customFormat="false" ht="15" hidden="false" customHeight="false" outlineLevel="0" collapsed="false">
      <c r="A85" s="4" t="s">
        <v>57</v>
      </c>
      <c r="B85" s="4" t="n">
        <v>4</v>
      </c>
      <c r="C85" s="34" t="n">
        <f aca="false">INDEX(Inputs!$B$24:$E$24,1,3)</f>
        <v>10</v>
      </c>
      <c r="D85" s="22" t="n">
        <f aca="false">$H$16*($I$16+$I$6)*($J$16+$J$6)*($K$16+$K$6)*($L$18-($L$16+$L$6))</f>
        <v>61440</v>
      </c>
      <c r="E85" s="24" t="n">
        <f aca="false">D85/$H$19</f>
        <v>0.00135224885322959</v>
      </c>
      <c r="F85" s="35" t="n">
        <f aca="false">IF(E85&gt;0,1/E85,"-")</f>
        <v>739.508854166667</v>
      </c>
      <c r="G85" s="23" t="n">
        <f aca="false">C85*E85</f>
        <v>0.0135224885322959</v>
      </c>
    </row>
    <row r="86" customFormat="false" ht="15" hidden="false" customHeight="false" outlineLevel="0" collapsed="false">
      <c r="A86" s="4" t="s">
        <v>57</v>
      </c>
      <c r="B86" s="4" t="n">
        <v>5</v>
      </c>
      <c r="C86" s="34" t="n">
        <f aca="false">INDEX(Inputs!$B$24:$E$24,1,4)</f>
        <v>50</v>
      </c>
      <c r="D86" s="22" t="n">
        <f aca="false">$H$16*($I$16+$I$6)*($J$16+$J$6)*($K$16+$K$6)*($L$16+$L$6)</f>
        <v>8192</v>
      </c>
      <c r="E86" s="24" t="n">
        <f aca="false">D86/$H$19</f>
        <v>0.000180299847097278</v>
      </c>
      <c r="F86" s="35" t="n">
        <f aca="false">IF(E86&gt;0,1/E86,"-")</f>
        <v>5546.31640625</v>
      </c>
      <c r="G86" s="23" t="n">
        <f aca="false">C86*E86</f>
        <v>0.00901499235486391</v>
      </c>
    </row>
    <row r="87" customFormat="false" ht="15" hidden="false" customHeight="false" outlineLevel="0" collapsed="false">
      <c r="A87" s="4" t="s">
        <v>58</v>
      </c>
      <c r="B87" s="4" t="n">
        <v>3</v>
      </c>
      <c r="C87" s="34" t="n">
        <f aca="false">INDEX(Inputs!$B$25:$E$25,1,2)</f>
        <v>4</v>
      </c>
      <c r="D87" s="22" t="n">
        <f aca="false">$H$17*($I$17+$I$6)*($J$17+$J$6)*($K$18-($K$17+$K$6))*$L$18</f>
        <v>344250</v>
      </c>
      <c r="E87" s="24" t="n">
        <f aca="false">D87/$H$19</f>
        <v>0.00757668730019995</v>
      </c>
      <c r="F87" s="35" t="n">
        <f aca="false">IF(E87&gt;0,1/E87,"-")</f>
        <v>131.983802469136</v>
      </c>
      <c r="G87" s="23" t="n">
        <f aca="false">C87*E87</f>
        <v>0.0303067492007998</v>
      </c>
    </row>
    <row r="88" customFormat="false" ht="15" hidden="false" customHeight="false" outlineLevel="0" collapsed="false">
      <c r="A88" s="4" t="s">
        <v>58</v>
      </c>
      <c r="B88" s="4" t="n">
        <v>4</v>
      </c>
      <c r="C88" s="34" t="n">
        <f aca="false">INDEX(Inputs!$B$25:$E$25,1,3)</f>
        <v>10</v>
      </c>
      <c r="D88" s="22" t="n">
        <f aca="false">$H$17*($I$17+$I$6)*($J$17+$J$6)*($K$17+$K$6)*($L$18-($L$17+$L$6))</f>
        <v>105705</v>
      </c>
      <c r="E88" s="24" t="n">
        <f aca="false">D88/$H$19</f>
        <v>0.00232648868864963</v>
      </c>
      <c r="F88" s="35" t="n">
        <f aca="false">IF(E88&gt;0,1/E88,"-")</f>
        <v>429.832306891822</v>
      </c>
      <c r="G88" s="23" t="n">
        <f aca="false">C88*E88</f>
        <v>0.0232648868864963</v>
      </c>
    </row>
    <row r="89" customFormat="false" ht="15" hidden="false" customHeight="false" outlineLevel="0" collapsed="false">
      <c r="A89" s="4" t="s">
        <v>58</v>
      </c>
      <c r="B89" s="4" t="n">
        <v>5</v>
      </c>
      <c r="C89" s="34" t="n">
        <f aca="false">INDEX(Inputs!$B$25:$E$25,1,4)</f>
        <v>40</v>
      </c>
      <c r="D89" s="22" t="n">
        <f aca="false">$H$17*($I$17+$I$6)*($J$17+$J$6)*($K$17+$K$6)*($L$17+$L$6)</f>
        <v>18225</v>
      </c>
      <c r="E89" s="24" t="n">
        <f aca="false">D89/$H$19</f>
        <v>0.00040111873942235</v>
      </c>
      <c r="F89" s="35" t="n">
        <f aca="false">IF(E89&gt;0,1/E89,"-")</f>
        <v>2493.02737997257</v>
      </c>
      <c r="G89" s="23" t="n">
        <f aca="false">C89*E89</f>
        <v>0.016044749576894</v>
      </c>
    </row>
    <row r="90" customFormat="false" ht="15" hidden="false" customHeight="false" outlineLevel="0" collapsed="false">
      <c r="A90" s="17" t="s">
        <v>175</v>
      </c>
      <c r="G90" s="29" t="n">
        <f aca="false">SUM(G59:G89)</f>
        <v>1.04272168781786</v>
      </c>
    </row>
    <row r="91" customFormat="false" ht="15" hidden="false" customHeight="false" outlineLevel="0" collapsed="false">
      <c r="A91" s="4" t="s">
        <v>177</v>
      </c>
      <c r="G91" s="24" t="n">
        <f aca="false">SUM(E59:E89)</f>
        <v>0.0628434764909424</v>
      </c>
    </row>
    <row r="93" customFormat="false" ht="15" hidden="false" customHeight="false" outlineLevel="0" collapsed="false">
      <c r="A93" s="20" t="s">
        <v>201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</row>
    <row r="94" customFormat="false" ht="15" hidden="false" customHeight="false" outlineLevel="0" collapsed="false">
      <c r="A94" s="3" t="s">
        <v>202</v>
      </c>
      <c r="B94" s="3" t="s">
        <v>203</v>
      </c>
      <c r="C94" s="3" t="s">
        <v>204</v>
      </c>
      <c r="D94" s="3" t="s">
        <v>205</v>
      </c>
      <c r="E94" s="3" t="s">
        <v>206</v>
      </c>
      <c r="F94" s="3" t="s">
        <v>207</v>
      </c>
      <c r="G94" s="3" t="s">
        <v>208</v>
      </c>
      <c r="H94" s="3" t="s">
        <v>209</v>
      </c>
      <c r="I94" s="3" t="s">
        <v>210</v>
      </c>
      <c r="J94" s="3" t="s">
        <v>211</v>
      </c>
    </row>
    <row r="95" customFormat="false" ht="15" hidden="false" customHeight="false" outlineLevel="0" collapsed="false">
      <c r="A95" s="4" t="s">
        <v>212</v>
      </c>
      <c r="E95" s="15" t="n">
        <v>1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</row>
    <row r="96" customFormat="false" ht="15" hidden="false" customHeight="false" outlineLevel="0" collapsed="false">
      <c r="A96" s="4" t="n">
        <v>1</v>
      </c>
      <c r="B96" s="22" t="n">
        <f aca="false">$B$7</f>
        <v>1</v>
      </c>
      <c r="C96" s="22" t="n">
        <f aca="false">$B$18</f>
        <v>40</v>
      </c>
      <c r="D96" s="24" t="n">
        <f aca="false">Inputs!$B$6*B96/C96</f>
        <v>0.075</v>
      </c>
      <c r="E96" s="24" t="n">
        <f aca="false">E95*(1-$D96)</f>
        <v>0.925</v>
      </c>
      <c r="F96" s="24" t="n">
        <f aca="false">F95*(1-$D96)+E95*$D96</f>
        <v>0.075</v>
      </c>
      <c r="G96" s="24" t="n">
        <f aca="false">G95*(1-$D96)+F95*$D96</f>
        <v>0</v>
      </c>
      <c r="H96" s="24" t="n">
        <f aca="false">H95*(1-$D96)+G95*$D96</f>
        <v>0</v>
      </c>
      <c r="I96" s="24" t="n">
        <f aca="false">I95*(1-$D96)+H95*$D96</f>
        <v>0</v>
      </c>
      <c r="J96" s="24" t="n">
        <f aca="false">J95*(1-$D96)+I95*$D96</f>
        <v>0</v>
      </c>
    </row>
    <row r="97" customFormat="false" ht="15" hidden="false" customHeight="false" outlineLevel="0" collapsed="false">
      <c r="A97" s="4" t="n">
        <v>2</v>
      </c>
      <c r="B97" s="22" t="n">
        <f aca="false">$C$7</f>
        <v>2</v>
      </c>
      <c r="C97" s="22" t="n">
        <f aca="false">$C$18</f>
        <v>42</v>
      </c>
      <c r="D97" s="24" t="n">
        <f aca="false">Inputs!$B$6*B97/C97</f>
        <v>0.142857142857143</v>
      </c>
      <c r="E97" s="24" t="n">
        <f aca="false">E96*(1-$D97)</f>
        <v>0.792857142857143</v>
      </c>
      <c r="F97" s="24" t="n">
        <f aca="false">F96*(1-$D97)+E96*$D97</f>
        <v>0.196428571428571</v>
      </c>
      <c r="G97" s="24" t="n">
        <f aca="false">G96*(1-$D97)+F96*$D97</f>
        <v>0.0107142857142857</v>
      </c>
      <c r="H97" s="24" t="n">
        <f aca="false">H96*(1-$D97)+G96*$D97</f>
        <v>0</v>
      </c>
      <c r="I97" s="24" t="n">
        <f aca="false">I96*(1-$D97)+H96*$D97</f>
        <v>0</v>
      </c>
      <c r="J97" s="24" t="n">
        <f aca="false">J96*(1-$D97)+I96*$D97</f>
        <v>0</v>
      </c>
    </row>
    <row r="98" customFormat="false" ht="15" hidden="false" customHeight="false" outlineLevel="0" collapsed="false">
      <c r="A98" s="4" t="n">
        <v>3</v>
      </c>
      <c r="B98" s="22" t="n">
        <f aca="false">$D$7</f>
        <v>1</v>
      </c>
      <c r="C98" s="22" t="n">
        <f aca="false">$D$18</f>
        <v>42</v>
      </c>
      <c r="D98" s="24" t="n">
        <f aca="false">Inputs!$B$6*B98/C98</f>
        <v>0.0714285714285714</v>
      </c>
      <c r="E98" s="24" t="n">
        <f aca="false">E97*(1-$D98)</f>
        <v>0.736224489795919</v>
      </c>
      <c r="F98" s="24" t="n">
        <f aca="false">F97*(1-$D98)+E97*$D98</f>
        <v>0.239030612244898</v>
      </c>
      <c r="G98" s="24" t="n">
        <f aca="false">G97*(1-$D98)+F97*$D98</f>
        <v>0.0239795918367347</v>
      </c>
      <c r="H98" s="24" t="n">
        <f aca="false">H97*(1-$D98)+G97*$D98</f>
        <v>0.000765306122448979</v>
      </c>
      <c r="I98" s="24" t="n">
        <f aca="false">I97*(1-$D98)+H97*$D98</f>
        <v>0</v>
      </c>
      <c r="J98" s="24" t="n">
        <f aca="false">J97*(1-$D98)+I97*$D98</f>
        <v>0</v>
      </c>
    </row>
    <row r="99" customFormat="false" ht="15" hidden="false" customHeight="false" outlineLevel="0" collapsed="false">
      <c r="A99" s="4" t="n">
        <v>4</v>
      </c>
      <c r="B99" s="22" t="n">
        <f aca="false">$E$7</f>
        <v>2</v>
      </c>
      <c r="C99" s="22" t="n">
        <f aca="false">$E$18</f>
        <v>42</v>
      </c>
      <c r="D99" s="24" t="n">
        <f aca="false">Inputs!$B$6*B99/C99</f>
        <v>0.142857142857143</v>
      </c>
      <c r="E99" s="24" t="n">
        <f aca="false">E98*(1-$D99)</f>
        <v>0.631049562682216</v>
      </c>
      <c r="F99" s="24" t="n">
        <f aca="false">F98*(1-$D99)+E98*$D99</f>
        <v>0.310058309037901</v>
      </c>
      <c r="G99" s="24" t="n">
        <f aca="false">G98*(1-$D99)+F98*$D99</f>
        <v>0.054701166180758</v>
      </c>
      <c r="H99" s="24" t="n">
        <f aca="false">H98*(1-$D99)+G98*$D99</f>
        <v>0.00408163265306123</v>
      </c>
      <c r="I99" s="24" t="n">
        <f aca="false">I98*(1-$D99)+H98*$D99</f>
        <v>0.00010932944606414</v>
      </c>
      <c r="J99" s="24" t="n">
        <f aca="false">J98*(1-$D99)+I98*$D99</f>
        <v>0</v>
      </c>
    </row>
    <row r="100" customFormat="false" ht="15" hidden="false" customHeight="false" outlineLevel="0" collapsed="false">
      <c r="A100" s="4" t="n">
        <v>5</v>
      </c>
      <c r="B100" s="22" t="n">
        <f aca="false">$F$7</f>
        <v>1</v>
      </c>
      <c r="C100" s="22" t="n">
        <f aca="false">$F$18</f>
        <v>40</v>
      </c>
      <c r="D100" s="24" t="n">
        <f aca="false">Inputs!$B$6*B100/C100</f>
        <v>0.075</v>
      </c>
      <c r="E100" s="24" t="n">
        <f aca="false">E99*(1-$D100)</f>
        <v>0.58372084548105</v>
      </c>
      <c r="F100" s="24" t="n">
        <f aca="false">F99*(1-$D100)+E99*$D100</f>
        <v>0.334132653061225</v>
      </c>
      <c r="G100" s="24" t="n">
        <f aca="false">G99*(1-$D100)+F99*$D100</f>
        <v>0.0738529518950437</v>
      </c>
      <c r="H100" s="24" t="n">
        <f aca="false">H99*(1-$D100)+G99*$D100</f>
        <v>0.00787809766763849</v>
      </c>
      <c r="I100" s="24" t="n">
        <f aca="false">I99*(1-$D100)+H99*$D100</f>
        <v>0.000407252186588921</v>
      </c>
      <c r="J100" s="24" t="n">
        <f aca="false">J99*(1-$D100)+I99*$D100</f>
        <v>8.19970845481049E-006</v>
      </c>
    </row>
    <row r="101" customFormat="false" ht="15" hidden="false" customHeight="false" outlineLevel="0" collapsed="false">
      <c r="A101" s="4" t="s">
        <v>213</v>
      </c>
      <c r="E101" s="34" t="n">
        <f aca="false">Inputs!$B$29</f>
        <v>0</v>
      </c>
      <c r="F101" s="34" t="n">
        <f aca="false">Inputs!$B$30</f>
        <v>0</v>
      </c>
      <c r="G101" s="34" t="n">
        <f aca="false">Inputs!$B$31</f>
        <v>0</v>
      </c>
      <c r="H101" s="34" t="n">
        <f aca="false">Inputs!$B$32</f>
        <v>2</v>
      </c>
      <c r="I101" s="34" t="n">
        <f aca="false">Inputs!$B$33</f>
        <v>10</v>
      </c>
      <c r="J101" s="34" t="n">
        <f aca="false">Inputs!$B$34</f>
        <v>100</v>
      </c>
    </row>
    <row r="102" customFormat="false" ht="15" hidden="false" customHeight="false" outlineLevel="0" collapsed="false">
      <c r="A102" s="17" t="s">
        <v>214</v>
      </c>
      <c r="E102" s="29" t="n">
        <f aca="false">SUMPRODUCT(E100:J100,E101:J101)</f>
        <v>0.0206486880466472</v>
      </c>
    </row>
    <row r="103" customFormat="false" ht="15" hidden="false" customHeight="false" outlineLevel="0" collapsed="false">
      <c r="A103" s="17" t="s">
        <v>215</v>
      </c>
      <c r="E103" s="42" t="n">
        <f aca="false">SUM(H100:J100)</f>
        <v>0.00829354956268222</v>
      </c>
      <c r="F103" s="43" t="n">
        <f aca="false">1/E103</f>
        <v>120.57563440624</v>
      </c>
    </row>
    <row r="104" customFormat="false" ht="15" hidden="false" customHeight="false" outlineLevel="0" collapsed="false">
      <c r="A104" s="2" t="s">
        <v>216</v>
      </c>
    </row>
    <row r="106" customFormat="false" ht="15" hidden="false" customHeight="false" outlineLevel="0" collapsed="false">
      <c r="A106" s="20" t="s">
        <v>217</v>
      </c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</row>
    <row r="107" customFormat="false" ht="15" hidden="false" customHeight="false" outlineLevel="0" collapsed="false">
      <c r="A107" s="3" t="s">
        <v>202</v>
      </c>
      <c r="B107" s="3" t="s">
        <v>203</v>
      </c>
      <c r="C107" s="3" t="s">
        <v>204</v>
      </c>
      <c r="D107" s="3" t="s">
        <v>205</v>
      </c>
      <c r="E107" s="3" t="s">
        <v>206</v>
      </c>
      <c r="F107" s="3" t="s">
        <v>207</v>
      </c>
      <c r="G107" s="3" t="s">
        <v>208</v>
      </c>
      <c r="H107" s="3" t="s">
        <v>209</v>
      </c>
      <c r="I107" s="3" t="s">
        <v>210</v>
      </c>
      <c r="J107" s="3" t="s">
        <v>211</v>
      </c>
    </row>
    <row r="108" customFormat="false" ht="15" hidden="false" customHeight="false" outlineLevel="0" collapsed="false">
      <c r="A108" s="4" t="s">
        <v>212</v>
      </c>
      <c r="E108" s="15" t="n">
        <v>1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0</v>
      </c>
    </row>
    <row r="109" customFormat="false" ht="15" hidden="false" customHeight="false" outlineLevel="0" collapsed="false">
      <c r="A109" s="4" t="n">
        <v>1</v>
      </c>
      <c r="B109" s="22" t="n">
        <f aca="false">$H$7</f>
        <v>1</v>
      </c>
      <c r="C109" s="22" t="n">
        <f aca="false">$H$18</f>
        <v>34</v>
      </c>
      <c r="D109" s="24" t="n">
        <f aca="false">Inputs!$B$6*B109/C109</f>
        <v>0.0882352941176471</v>
      </c>
      <c r="E109" s="24" t="n">
        <f aca="false">E108*(1-$D109)</f>
        <v>0.911764705882353</v>
      </c>
      <c r="F109" s="24" t="n">
        <f aca="false">F108*(1-$D109)+E108*$D109</f>
        <v>0.0882352941176471</v>
      </c>
      <c r="G109" s="24" t="n">
        <f aca="false">G108*(1-$D109)+F108*$D109</f>
        <v>0</v>
      </c>
      <c r="H109" s="24" t="n">
        <f aca="false">H108*(1-$D109)+G108*$D109</f>
        <v>0</v>
      </c>
      <c r="I109" s="24" t="n">
        <f aca="false">I108*(1-$D109)+H108*$D109</f>
        <v>0</v>
      </c>
      <c r="J109" s="24" t="n">
        <f aca="false">J108*(1-$D109)+I108*$D109</f>
        <v>0</v>
      </c>
    </row>
    <row r="110" customFormat="false" ht="15" hidden="false" customHeight="false" outlineLevel="0" collapsed="false">
      <c r="A110" s="4" t="n">
        <v>2</v>
      </c>
      <c r="B110" s="22" t="n">
        <f aca="false">$I$7</f>
        <v>1</v>
      </c>
      <c r="C110" s="22" t="n">
        <f aca="false">$I$18</f>
        <v>34</v>
      </c>
      <c r="D110" s="24" t="n">
        <f aca="false">Inputs!$B$6*B110/C110</f>
        <v>0.0882352941176471</v>
      </c>
      <c r="E110" s="24" t="n">
        <f aca="false">E109*(1-$D110)</f>
        <v>0.831314878892734</v>
      </c>
      <c r="F110" s="24" t="n">
        <f aca="false">F109*(1-$D110)+E109*$D110</f>
        <v>0.160899653979239</v>
      </c>
      <c r="G110" s="24" t="n">
        <f aca="false">G109*(1-$D110)+F109*$D110</f>
        <v>0.00778546712802768</v>
      </c>
      <c r="H110" s="24" t="n">
        <f aca="false">H109*(1-$D110)+G109*$D110</f>
        <v>0</v>
      </c>
      <c r="I110" s="24" t="n">
        <f aca="false">I109*(1-$D110)+H109*$D110</f>
        <v>0</v>
      </c>
      <c r="J110" s="24" t="n">
        <f aca="false">J109*(1-$D110)+I109*$D110</f>
        <v>0</v>
      </c>
    </row>
    <row r="111" customFormat="false" ht="15" hidden="false" customHeight="false" outlineLevel="0" collapsed="false">
      <c r="A111" s="4" t="n">
        <v>3</v>
      </c>
      <c r="B111" s="22" t="n">
        <f aca="false">$J$7</f>
        <v>1</v>
      </c>
      <c r="C111" s="22" t="n">
        <f aca="false">$J$18</f>
        <v>34</v>
      </c>
      <c r="D111" s="24" t="n">
        <f aca="false">Inputs!$B$6*B111/C111</f>
        <v>0.0882352941176471</v>
      </c>
      <c r="E111" s="24" t="n">
        <f aca="false">E110*(1-$D111)</f>
        <v>0.757963566049257</v>
      </c>
      <c r="F111" s="24" t="n">
        <f aca="false">F110*(1-$D111)+E110*$D111</f>
        <v>0.220053938530429</v>
      </c>
      <c r="G111" s="24" t="n">
        <f aca="false">G110*(1-$D111)+F110*$D111</f>
        <v>0.0212955424384287</v>
      </c>
      <c r="H111" s="24" t="n">
        <f aca="false">H110*(1-$D111)+G110*$D111</f>
        <v>0.000686952981884796</v>
      </c>
      <c r="I111" s="24" t="n">
        <f aca="false">I110*(1-$D111)+H110*$D111</f>
        <v>0</v>
      </c>
      <c r="J111" s="24" t="n">
        <f aca="false">J110*(1-$D111)+I110*$D111</f>
        <v>0</v>
      </c>
    </row>
    <row r="112" customFormat="false" ht="15" hidden="false" customHeight="false" outlineLevel="0" collapsed="false">
      <c r="A112" s="4" t="n">
        <v>4</v>
      </c>
      <c r="B112" s="22" t="n">
        <f aca="false">$K$7</f>
        <v>1</v>
      </c>
      <c r="C112" s="22" t="n">
        <f aca="false">$K$18</f>
        <v>34</v>
      </c>
      <c r="D112" s="24" t="n">
        <f aca="false">Inputs!$B$6*B112/C112</f>
        <v>0.0882352941176471</v>
      </c>
      <c r="E112" s="24" t="n">
        <f aca="false">E111*(1-$D112)</f>
        <v>0.69108442786844</v>
      </c>
      <c r="F112" s="24" t="n">
        <f aca="false">F111*(1-$D112)+E111*$D112</f>
        <v>0.267516552723267</v>
      </c>
      <c r="G112" s="24" t="n">
        <f aca="false">G111*(1-$D112)+F111*$D112</f>
        <v>0.0388330479759581</v>
      </c>
      <c r="H112" s="24" t="n">
        <f aca="false">H111*(1-$D112)+G111*$D112</f>
        <v>0.00250535793393278</v>
      </c>
      <c r="I112" s="24" t="n">
        <f aca="false">I111*(1-$D112)+H111*$D112</f>
        <v>6.06134984015996E-005</v>
      </c>
      <c r="J112" s="24" t="n">
        <f aca="false">J111*(1-$D112)+I111*$D112</f>
        <v>0</v>
      </c>
    </row>
    <row r="113" customFormat="false" ht="15" hidden="false" customHeight="false" outlineLevel="0" collapsed="false">
      <c r="A113" s="4" t="n">
        <v>5</v>
      </c>
      <c r="B113" s="22" t="n">
        <f aca="false">$L$7</f>
        <v>1</v>
      </c>
      <c r="C113" s="22" t="n">
        <f aca="false">$L$18</f>
        <v>34</v>
      </c>
      <c r="D113" s="24" t="n">
        <f aca="false">Inputs!$B$6*B113/C113</f>
        <v>0.0882352941176471</v>
      </c>
      <c r="E113" s="24" t="n">
        <f aca="false">E112*(1-$D113)</f>
        <v>0.630106390115343</v>
      </c>
      <c r="F113" s="24" t="n">
        <f aca="false">F112*(1-$D113)+E112*$D113</f>
        <v>0.304890188765488</v>
      </c>
      <c r="G113" s="24" t="n">
        <f aca="false">G112*(1-$D113)+F112*$D113</f>
        <v>0.0590110042771913</v>
      </c>
      <c r="H113" s="24" t="n">
        <f aca="false">H112*(1-$D113)+G112*$D113</f>
        <v>0.00571074234940561</v>
      </c>
      <c r="I113" s="24" t="n">
        <f aca="false">I112*(1-$D113)+H112*$D113</f>
        <v>0.000276326242713175</v>
      </c>
      <c r="J113" s="24" t="n">
        <f aca="false">J112*(1-$D113)+I112*$D113</f>
        <v>5.34824985896467E-006</v>
      </c>
    </row>
    <row r="114" customFormat="false" ht="15" hidden="false" customHeight="false" outlineLevel="0" collapsed="false">
      <c r="A114" s="4" t="s">
        <v>213</v>
      </c>
      <c r="E114" s="34" t="n">
        <f aca="false">Inputs!$B$29</f>
        <v>0</v>
      </c>
      <c r="F114" s="34" t="n">
        <f aca="false">Inputs!$B$30</f>
        <v>0</v>
      </c>
      <c r="G114" s="34" t="n">
        <f aca="false">Inputs!$B$31</f>
        <v>0</v>
      </c>
      <c r="H114" s="34" t="n">
        <f aca="false">Inputs!$B$32</f>
        <v>2</v>
      </c>
      <c r="I114" s="34" t="n">
        <f aca="false">Inputs!$B$33</f>
        <v>10</v>
      </c>
      <c r="J114" s="34" t="n">
        <f aca="false">Inputs!$B$34</f>
        <v>100</v>
      </c>
    </row>
    <row r="115" customFormat="false" ht="15" hidden="false" customHeight="false" outlineLevel="0" collapsed="false">
      <c r="A115" s="17" t="s">
        <v>214</v>
      </c>
      <c r="E115" s="29" t="n">
        <f aca="false">SUMPRODUCT(E113:J113,E114:J114)</f>
        <v>0.0147195721118394</v>
      </c>
    </row>
    <row r="116" customFormat="false" ht="15" hidden="false" customHeight="false" outlineLevel="0" collapsed="false">
      <c r="A116" s="17" t="s">
        <v>215</v>
      </c>
      <c r="E116" s="42" t="n">
        <f aca="false">SUM(H113:J113)</f>
        <v>0.00599241684197775</v>
      </c>
      <c r="F116" s="43" t="n">
        <f aca="false">1/E116</f>
        <v>166.877576505502</v>
      </c>
    </row>
    <row r="117" customFormat="false" ht="15" hidden="false" customHeight="false" outlineLevel="0" collapsed="false">
      <c r="A117" s="2" t="s">
        <v>216</v>
      </c>
    </row>
    <row r="119" customFormat="false" ht="15" hidden="false" customHeight="false" outlineLevel="0" collapsed="false">
      <c r="A119" s="20" t="s">
        <v>218</v>
      </c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</row>
    <row r="120" customFormat="false" ht="35.05" hidden="false" customHeight="false" outlineLevel="0" collapsed="false">
      <c r="A120" s="3" t="s">
        <v>219</v>
      </c>
      <c r="B120" s="3" t="s">
        <v>220</v>
      </c>
      <c r="C120" s="3" t="s">
        <v>221</v>
      </c>
      <c r="D120" s="3" t="s">
        <v>222</v>
      </c>
      <c r="E120" s="3" t="s">
        <v>223</v>
      </c>
      <c r="F120" s="3" t="s">
        <v>224</v>
      </c>
      <c r="G120" s="3" t="s">
        <v>225</v>
      </c>
    </row>
    <row r="121" customFormat="false" ht="15" hidden="false" customHeight="false" outlineLevel="0" collapsed="false">
      <c r="A121" s="4" t="n">
        <v>0</v>
      </c>
      <c r="B121" s="15" t="n">
        <v>1</v>
      </c>
      <c r="C121" s="15" t="n">
        <v>0</v>
      </c>
      <c r="D121" s="15" t="n">
        <v>0</v>
      </c>
      <c r="E121" s="15" t="n">
        <v>0</v>
      </c>
      <c r="F121" s="15" t="n">
        <v>0</v>
      </c>
      <c r="G121" s="24" t="n">
        <f aca="false">IF($A121&lt;Inputs!$B$9*(1+0),B121,0)+IF($A121&lt;Inputs!$B$9*(1+1),C121,0)+IF($A121&lt;Inputs!$B$9*(1+2),D121,0)+IF($A121&lt;Inputs!$B$9*(1+3),E121,0)+IF($A121&lt;Inputs!$B$9*(1+4),F121,0)</f>
        <v>1</v>
      </c>
    </row>
    <row r="122" customFormat="false" ht="15" hidden="false" customHeight="false" outlineLevel="0" collapsed="false">
      <c r="A122" s="4" t="n">
        <v>1</v>
      </c>
      <c r="B122" s="24" t="n">
        <f aca="false">IF(($A121&lt;Inputs!$B$9*(1+0)),B121*(1-$E$116),B121)</f>
        <v>0.994007583158022</v>
      </c>
      <c r="C122" s="24" t="n">
        <f aca="false">IF(($A121&lt;Inputs!$B$9*(1+1)),C121*(1-$E$116),C121)+IF($A121&lt;Inputs!$B$9*1,B121*$E$116,0)</f>
        <v>0.00599241684197775</v>
      </c>
      <c r="D122" s="24" t="n">
        <f aca="false">IF(($A121&lt;Inputs!$B$9*(1+2)),D121*(1-$E$116),D121)+IF($A121&lt;Inputs!$B$9*2,C121*$E$116,0)</f>
        <v>0</v>
      </c>
      <c r="E122" s="24" t="n">
        <f aca="false">IF(($A121&lt;Inputs!$B$9*(1+3)),E121*(1-$E$116),E121)+IF($A121&lt;Inputs!$B$9*3,D121*$E$116,0)</f>
        <v>0</v>
      </c>
      <c r="F122" s="24" t="n">
        <f aca="false">IF(($A121&lt;Inputs!$B$9*(1+4)),F121*(1-$E$116),F121)+IF($A121&lt;Inputs!$B$9*4,E121*$E$116,0)+IF(($A121&lt;Inputs!$B$9*(1+4)),F121*$E$116,0)</f>
        <v>0</v>
      </c>
      <c r="G122" s="24" t="n">
        <f aca="false">IF($A122&lt;Inputs!$B$9*(1+0),B122,0)+IF($A122&lt;Inputs!$B$9*(1+1),C122,0)+IF($A122&lt;Inputs!$B$9*(1+2),D122,0)+IF($A122&lt;Inputs!$B$9*(1+3),E122,0)+IF($A122&lt;Inputs!$B$9*(1+4),F122,0)</f>
        <v>1</v>
      </c>
    </row>
    <row r="123" customFormat="false" ht="15" hidden="false" customHeight="false" outlineLevel="0" collapsed="false">
      <c r="A123" s="4" t="n">
        <v>2</v>
      </c>
      <c r="B123" s="24" t="n">
        <f aca="false">IF(($A122&lt;Inputs!$B$9*(1+0)),B122*(1-$E$116),B122)</f>
        <v>0.988051075375653</v>
      </c>
      <c r="C123" s="24" t="n">
        <f aca="false">IF(($A122&lt;Inputs!$B$9*(1+1)),C122*(1-$E$116),C122)+IF($A122&lt;Inputs!$B$9*1,B122*$E$116,0)</f>
        <v>0.0119130155647395</v>
      </c>
      <c r="D123" s="24" t="n">
        <f aca="false">IF(($A122&lt;Inputs!$B$9*(1+2)),D122*(1-$E$116),D122)+IF($A122&lt;Inputs!$B$9*2,C122*$E$116,0)</f>
        <v>3.59090596080186E-005</v>
      </c>
      <c r="E123" s="24" t="n">
        <f aca="false">IF(($A122&lt;Inputs!$B$9*(1+3)),E122*(1-$E$116),E122)+IF($A122&lt;Inputs!$B$9*3,D122*$E$116,0)</f>
        <v>0</v>
      </c>
      <c r="F123" s="24" t="n">
        <f aca="false">IF(($A122&lt;Inputs!$B$9*(1+4)),F122*(1-$E$116),F122)+IF($A122&lt;Inputs!$B$9*4,E122*$E$116,0)+IF(($A122&lt;Inputs!$B$9*(1+4)),F122*$E$116,0)</f>
        <v>0</v>
      </c>
      <c r="G123" s="24" t="n">
        <f aca="false">IF($A123&lt;Inputs!$B$9*(1+0),B123,0)+IF($A123&lt;Inputs!$B$9*(1+1),C123,0)+IF($A123&lt;Inputs!$B$9*(1+2),D123,0)+IF($A123&lt;Inputs!$B$9*(1+3),E123,0)+IF($A123&lt;Inputs!$B$9*(1+4),F123,0)</f>
        <v>1</v>
      </c>
    </row>
    <row r="124" customFormat="false" ht="15" hidden="false" customHeight="false" outlineLevel="0" collapsed="false">
      <c r="A124" s="4" t="n">
        <v>3</v>
      </c>
      <c r="B124" s="24" t="n">
        <f aca="false">IF(($A123&lt;Inputs!$B$9*(1+0)),B123*(1-$E$116),B123)</f>
        <v>0.982130261470837</v>
      </c>
      <c r="C124" s="24" t="n">
        <f aca="false">IF(($A123&lt;Inputs!$B$9*(1+1)),C123*(1-$E$116),C123)+IF($A123&lt;Inputs!$B$9*1,B123*$E$116,0)</f>
        <v>0.0177624417144459</v>
      </c>
      <c r="D124" s="24" t="n">
        <f aca="false">IF(($A123&lt;Inputs!$B$9*(1+2)),D123*(1-$E$116),D123)+IF($A123&lt;Inputs!$B$9*2,C123*$E$116,0)</f>
        <v>0.000107081632663332</v>
      </c>
      <c r="E124" s="24" t="n">
        <f aca="false">IF(($A123&lt;Inputs!$B$9*(1+3)),E123*(1-$E$116),E123)+IF($A123&lt;Inputs!$B$9*3,D123*$E$116,0)</f>
        <v>2.15182053574673E-007</v>
      </c>
      <c r="F124" s="24" t="n">
        <f aca="false">IF(($A123&lt;Inputs!$B$9*(1+4)),F123*(1-$E$116),F123)+IF($A123&lt;Inputs!$B$9*4,E123*$E$116,0)+IF(($A123&lt;Inputs!$B$9*(1+4)),F123*$E$116,0)</f>
        <v>0</v>
      </c>
      <c r="G124" s="24" t="n">
        <f aca="false">IF($A124&lt;Inputs!$B$9*(1+0),B124,0)+IF($A124&lt;Inputs!$B$9*(1+1),C124,0)+IF($A124&lt;Inputs!$B$9*(1+2),D124,0)+IF($A124&lt;Inputs!$B$9*(1+3),E124,0)+IF($A124&lt;Inputs!$B$9*(1+4),F124,0)</f>
        <v>1</v>
      </c>
    </row>
    <row r="125" customFormat="false" ht="15" hidden="false" customHeight="false" outlineLevel="0" collapsed="false">
      <c r="A125" s="4" t="n">
        <v>4</v>
      </c>
      <c r="B125" s="24" t="n">
        <f aca="false">IF(($A124&lt;Inputs!$B$9*(1+0)),B124*(1-$E$116),B124)</f>
        <v>0.976244927550984</v>
      </c>
      <c r="C125" s="24" t="n">
        <f aca="false">IF(($A124&lt;Inputs!$B$9*(1+1)),C124*(1-$E$116),C124)+IF($A124&lt;Inputs!$B$9*1,B124*$E$116,0)</f>
        <v>0.0235413356794154</v>
      </c>
      <c r="D125" s="24" t="n">
        <f aca="false">IF(($A124&lt;Inputs!$B$9*(1+2)),D124*(1-$E$116),D124)+IF($A124&lt;Inputs!$B$9*2,C124*$E$116,0)</f>
        <v>0.000212879909768587</v>
      </c>
      <c r="E125" s="24" t="n">
        <f aca="false">IF(($A124&lt;Inputs!$B$9*(1+3)),E124*(1-$E$116),E124)+IF($A124&lt;Inputs!$B$9*3,D124*$E$116,0)</f>
        <v>8.55570372050965E-007</v>
      </c>
      <c r="F125" s="24" t="n">
        <f aca="false">IF(($A124&lt;Inputs!$B$9*(1+4)),F124*(1-$E$116),F124)+IF($A124&lt;Inputs!$B$9*4,E124*$E$116,0)+IF(($A124&lt;Inputs!$B$9*(1+4)),F124*$E$116,0)</f>
        <v>1.28946056193223E-009</v>
      </c>
      <c r="G125" s="24" t="n">
        <f aca="false">IF($A125&lt;Inputs!$B$9*(1+0),B125,0)+IF($A125&lt;Inputs!$B$9*(1+1),C125,0)+IF($A125&lt;Inputs!$B$9*(1+2),D125,0)+IF($A125&lt;Inputs!$B$9*(1+3),E125,0)+IF($A125&lt;Inputs!$B$9*(1+4),F125,0)</f>
        <v>1</v>
      </c>
    </row>
    <row r="126" customFormat="false" ht="15" hidden="false" customHeight="false" outlineLevel="0" collapsed="false">
      <c r="A126" s="4" t="n">
        <v>5</v>
      </c>
      <c r="B126" s="24" t="n">
        <f aca="false">IF(($A125&lt;Inputs!$B$9*(1+0)),B125*(1-$E$116),B125)</f>
        <v>0.970394861005232</v>
      </c>
      <c r="C126" s="24" t="n">
        <f aca="false">IF(($A125&lt;Inputs!$B$9*(1+1)),C125*(1-$E$116),C125)+IF($A125&lt;Inputs!$B$9*1,B125*$E$116,0)</f>
        <v>0.0292503327287593</v>
      </c>
      <c r="D126" s="24" t="n">
        <f aca="false">IF(($A125&lt;Inputs!$B$9*(1+2)),D125*(1-$E$116),D125)+IF($A125&lt;Inputs!$B$9*2,C125*$E$116,0)</f>
        <v>0.000352673741019952</v>
      </c>
      <c r="E126" s="24" t="n">
        <f aca="false">IF(($A125&lt;Inputs!$B$9*(1+3)),E125*(1-$E$116),E125)+IF($A125&lt;Inputs!$B$9*3,D125*$E$116,0)</f>
        <v>2.12610859435997E-006</v>
      </c>
      <c r="F126" s="24" t="n">
        <f aca="false">IF(($A125&lt;Inputs!$B$9*(1+4)),F125*(1-$E$116),F125)+IF($A125&lt;Inputs!$B$9*4,E125*$E$116,0)+IF(($A125&lt;Inputs!$B$9*(1+4)),F125*$E$116,0)</f>
        <v>6.4163948689076E-009</v>
      </c>
      <c r="G126" s="24" t="n">
        <f aca="false">IF($A126&lt;Inputs!$B$9*(1+0),B126,0)+IF($A126&lt;Inputs!$B$9*(1+1),C126,0)+IF($A126&lt;Inputs!$B$9*(1+2),D126,0)+IF($A126&lt;Inputs!$B$9*(1+3),E126,0)+IF($A126&lt;Inputs!$B$9*(1+4),F126,0)</f>
        <v>1</v>
      </c>
    </row>
    <row r="127" customFormat="false" ht="15" hidden="false" customHeight="false" outlineLevel="0" collapsed="false">
      <c r="A127" s="4" t="n">
        <v>6</v>
      </c>
      <c r="B127" s="24" t="n">
        <f aca="false">IF(($A126&lt;Inputs!$B$9*(1+0)),B126*(1-$E$116),B126)</f>
        <v>0.964579850496775</v>
      </c>
      <c r="C127" s="24" t="n">
        <f aca="false">IF(($A126&lt;Inputs!$B$9*(1+1)),C126*(1-$E$116),C126)+IF($A126&lt;Inputs!$B$9*1,B126*$E$116,0)</f>
        <v>0.0348900630507384</v>
      </c>
      <c r="D127" s="24" t="n">
        <f aca="false">IF(($A126&lt;Inputs!$B$9*(1+2)),D126*(1-$E$116),D126)+IF($A126&lt;Inputs!$B$9*2,C126*$E$116,0)</f>
        <v>0.000525840559431811</v>
      </c>
      <c r="E127" s="24" t="n">
        <f aca="false">IF(($A126&lt;Inputs!$B$9*(1+3)),E126*(1-$E$116),E126)+IF($A126&lt;Inputs!$B$9*3,D126*$E$116,0)</f>
        <v>4.22673613082252E-006</v>
      </c>
      <c r="F127" s="24" t="n">
        <f aca="false">IF(($A126&lt;Inputs!$B$9*(1+4)),F126*(1-$E$116),F126)+IF($A126&lt;Inputs!$B$9*4,E126*$E$116,0)+IF(($A126&lt;Inputs!$B$9*(1+4)),F126*$E$116,0)</f>
        <v>1.9156923817624E-008</v>
      </c>
      <c r="G127" s="24" t="n">
        <f aca="false">IF($A127&lt;Inputs!$B$9*(1+0),B127,0)+IF($A127&lt;Inputs!$B$9*(1+1),C127,0)+IF($A127&lt;Inputs!$B$9*(1+2),D127,0)+IF($A127&lt;Inputs!$B$9*(1+3),E127,0)+IF($A127&lt;Inputs!$B$9*(1+4),F127,0)</f>
        <v>1</v>
      </c>
    </row>
    <row r="128" customFormat="false" ht="15" hidden="false" customHeight="false" outlineLevel="0" collapsed="false">
      <c r="A128" s="4" t="n">
        <v>7</v>
      </c>
      <c r="B128" s="24" t="n">
        <f aca="false">IF(($A127&lt;Inputs!$B$9*(1+0)),B127*(1-$E$116),B127)</f>
        <v>0.958799685955226</v>
      </c>
      <c r="C128" s="24" t="n">
        <f aca="false">IF(($A127&lt;Inputs!$B$9*(1+1)),C127*(1-$E$116),C127)+IF($A127&lt;Inputs!$B$9*1,B127*$E$116,0)</f>
        <v>0.0404611517908448</v>
      </c>
      <c r="D128" s="24" t="n">
        <f aca="false">IF(($A127&lt;Inputs!$B$9*(1+2)),D127*(1-$E$116),D127)+IF($A127&lt;Inputs!$B$9*2,C127*$E$116,0)</f>
        <v>0.000731765305050187</v>
      </c>
      <c r="E128" s="24" t="n">
        <f aca="false">IF(($A127&lt;Inputs!$B$9*(1+3)),E127*(1-$E$116),E127)+IF($A127&lt;Inputs!$B$9*3,D127*$E$116,0)</f>
        <v>7.35246359057976E-006</v>
      </c>
      <c r="F128" s="24" t="n">
        <f aca="false">IF(($A127&lt;Inputs!$B$9*(1+4)),F127*(1-$E$116),F127)+IF($A127&lt;Inputs!$B$9*4,E127*$E$116,0)+IF(($A127&lt;Inputs!$B$9*(1+4)),F127*$E$116,0)</f>
        <v>4.44852885945607E-008</v>
      </c>
      <c r="G128" s="24" t="n">
        <f aca="false">IF($A128&lt;Inputs!$B$9*(1+0),B128,0)+IF($A128&lt;Inputs!$B$9*(1+1),C128,0)+IF($A128&lt;Inputs!$B$9*(1+2),D128,0)+IF($A128&lt;Inputs!$B$9*(1+3),E128,0)+IF($A128&lt;Inputs!$B$9*(1+4),F128,0)</f>
        <v>1</v>
      </c>
    </row>
    <row r="129" customFormat="false" ht="15" hidden="false" customHeight="false" outlineLevel="0" collapsed="false">
      <c r="A129" s="4" t="n">
        <v>8</v>
      </c>
      <c r="B129" s="24" t="n">
        <f aca="false">IF(($A128&lt;Inputs!$B$9*(1+0)),B128*(1-$E$116),B128)</f>
        <v>0.953054158569025</v>
      </c>
      <c r="C129" s="24" t="n">
        <f aca="false">IF(($A128&lt;Inputs!$B$9*(1+1)),C128*(1-$E$116),C128)+IF($A128&lt;Inputs!$B$9*1,B128*$E$116,0)</f>
        <v>0.0459642190896086</v>
      </c>
      <c r="D129" s="24" t="n">
        <f aca="false">IF(($A128&lt;Inputs!$B$9*(1+2)),D128*(1-$E$116),D128)+IF($A128&lt;Inputs!$B$9*2,C128*$E$116,0)</f>
        <v>0.000969840349749106</v>
      </c>
      <c r="E129" s="24" t="n">
        <f aca="false">IF(($A128&lt;Inputs!$B$9*(1+3)),E128*(1-$E$116),E128)+IF($A128&lt;Inputs!$B$9*3,D128*$E$116,0)</f>
        <v>1.16934473022873E-005</v>
      </c>
      <c r="F129" s="24" t="n">
        <f aca="false">IF(($A128&lt;Inputs!$B$9*(1+4)),F128*(1-$E$116),F128)+IF($A128&lt;Inputs!$B$9*4,E128*$E$116,0)+IF(($A128&lt;Inputs!$B$9*(1+4)),F128*$E$116,0)</f>
        <v>8.8544315244779E-008</v>
      </c>
      <c r="G129" s="24" t="n">
        <f aca="false">IF($A129&lt;Inputs!$B$9*(1+0),B129,0)+IF($A129&lt;Inputs!$B$9*(1+1),C129,0)+IF($A129&lt;Inputs!$B$9*(1+2),D129,0)+IF($A129&lt;Inputs!$B$9*(1+3),E129,0)+IF($A129&lt;Inputs!$B$9*(1+4),F129,0)</f>
        <v>1</v>
      </c>
    </row>
    <row r="130" customFormat="false" ht="15" hidden="false" customHeight="false" outlineLevel="0" collapsed="false">
      <c r="A130" s="4" t="n">
        <v>9</v>
      </c>
      <c r="B130" s="24" t="n">
        <f aca="false">IF(($A129&lt;Inputs!$B$9*(1+0)),B129*(1-$E$116),B129)</f>
        <v>0.947343060777899</v>
      </c>
      <c r="C130" s="24" t="n">
        <f aca="false">IF(($A129&lt;Inputs!$B$9*(1+1)),C129*(1-$E$116),C129)+IF($A129&lt;Inputs!$B$9*1,B129*$E$116,0)</f>
        <v>0.0513998801201336</v>
      </c>
      <c r="D130" s="24" t="n">
        <f aca="false">IF(($A129&lt;Inputs!$B$9*(1+2)),D129*(1-$E$116),D129)+IF($A129&lt;Inputs!$B$9*2,C129*$E$116,0)</f>
        <v>0.00123946542270417</v>
      </c>
      <c r="E130" s="24" t="n">
        <f aca="false">IF(($A129&lt;Inputs!$B$9*(1+3)),E129*(1-$E$116),E129)+IF($A129&lt;Inputs!$B$9*3,D129*$E$116,0)</f>
        <v>1.74350629375984E-005</v>
      </c>
      <c r="F130" s="24" t="n">
        <f aca="false">IF(($A129&lt;Inputs!$B$9*(1+4)),F129*(1-$E$116),F129)+IF($A129&lt;Inputs!$B$9*4,E129*$E$116,0)+IF(($A129&lt;Inputs!$B$9*(1+4)),F129*$E$116,0)</f>
        <v>1.58616325799785E-007</v>
      </c>
      <c r="G130" s="24" t="n">
        <f aca="false">IF($A130&lt;Inputs!$B$9*(1+0),B130,0)+IF($A130&lt;Inputs!$B$9*(1+1),C130,0)+IF($A130&lt;Inputs!$B$9*(1+2),D130,0)+IF($A130&lt;Inputs!$B$9*(1+3),E130,0)+IF($A130&lt;Inputs!$B$9*(1+4),F130,0)</f>
        <v>1</v>
      </c>
    </row>
    <row r="131" customFormat="false" ht="15" hidden="false" customHeight="false" outlineLevel="0" collapsed="false">
      <c r="A131" s="4" t="n">
        <v>10</v>
      </c>
      <c r="B131" s="24" t="n">
        <f aca="false">IF(($A130&lt;Inputs!$B$9*(1+0)),B130*(1-$E$116),B130)</f>
        <v>0.941666186265363</v>
      </c>
      <c r="C131" s="24" t="n">
        <f aca="false">IF(($A130&lt;Inputs!$B$9*(1+1)),C130*(1-$E$116),C130)+IF($A130&lt;Inputs!$B$9*1,B130*$E$116,0)</f>
        <v>0.0567687451253623</v>
      </c>
      <c r="D131" s="24" t="n">
        <f aca="false">IF(($A130&lt;Inputs!$B$9*(1+2)),D130*(1-$E$116),D130)+IF($A130&lt;Inputs!$B$9*2,C130*$E$116,0)</f>
        <v>0.00154004753653763</v>
      </c>
      <c r="E131" s="24" t="n">
        <f aca="false">IF(($A130&lt;Inputs!$B$9*(1+3)),E130*(1-$E$116),E130)+IF($A130&lt;Inputs!$B$9*3,D130*$E$116,0)</f>
        <v>2.47579782468717E-005</v>
      </c>
      <c r="F131" s="24" t="n">
        <f aca="false">IF(($A130&lt;Inputs!$B$9*(1+4)),F130*(1-$E$116),F130)+IF($A130&lt;Inputs!$B$9*4,E130*$E$116,0)+IF(($A130&lt;Inputs!$B$9*(1+4)),F130*$E$116,0)</f>
        <v>2.63094490587991E-007</v>
      </c>
      <c r="G131" s="24" t="n">
        <f aca="false">IF($A131&lt;Inputs!$B$9*(1+0),B131,0)+IF($A131&lt;Inputs!$B$9*(1+1),C131,0)+IF($A131&lt;Inputs!$B$9*(1+2),D131,0)+IF($A131&lt;Inputs!$B$9*(1+3),E131,0)+IF($A131&lt;Inputs!$B$9*(1+4),F131,0)</f>
        <v>0.0583338137346374</v>
      </c>
    </row>
    <row r="132" customFormat="false" ht="15" hidden="false" customHeight="false" outlineLevel="0" collapsed="false">
      <c r="A132" s="4" t="n">
        <v>11</v>
      </c>
      <c r="B132" s="24" t="n">
        <f aca="false">IF(($A131&lt;Inputs!$B$9*(1+0)),B131*(1-$E$116),B131)</f>
        <v>0.941666186265363</v>
      </c>
      <c r="C132" s="24" t="n">
        <f aca="false">IF(($A131&lt;Inputs!$B$9*(1+1)),C131*(1-$E$116),C131)+IF($A131&lt;Inputs!$B$9*1,B131*$E$116,0)</f>
        <v>0.0564285631409752</v>
      </c>
      <c r="D132" s="24" t="n">
        <f aca="false">IF(($A131&lt;Inputs!$B$9*(1+2)),D131*(1-$E$116),D131)+IF($A131&lt;Inputs!$B$9*2,C131*$E$116,0)</f>
        <v>0.0018710009141294</v>
      </c>
      <c r="E132" s="24" t="n">
        <f aca="false">IF(($A131&lt;Inputs!$B$9*(1+3)),E131*(1-$E$116),E131)+IF($A131&lt;Inputs!$B$9*3,D131*$E$116,0)</f>
        <v>3.38382249164463E-005</v>
      </c>
      <c r="F132" s="24" t="n">
        <f aca="false">IF(($A131&lt;Inputs!$B$9*(1+4)),F131*(1-$E$116),F131)+IF($A131&lt;Inputs!$B$9*4,E131*$E$116,0)+IF(($A131&lt;Inputs!$B$9*(1+4)),F131*$E$116,0)</f>
        <v>4.11454616407864E-007</v>
      </c>
      <c r="G132" s="24" t="n">
        <f aca="false">IF($A132&lt;Inputs!$B$9*(1+0),B132,0)+IF($A132&lt;Inputs!$B$9*(1+1),C132,0)+IF($A132&lt;Inputs!$B$9*(1+2),D132,0)+IF($A132&lt;Inputs!$B$9*(1+3),E132,0)+IF($A132&lt;Inputs!$B$9*(1+4),F132,0)</f>
        <v>0.0583338137346374</v>
      </c>
    </row>
    <row r="133" customFormat="false" ht="15" hidden="false" customHeight="false" outlineLevel="0" collapsed="false">
      <c r="A133" s="4" t="n">
        <v>12</v>
      </c>
      <c r="B133" s="24" t="n">
        <f aca="false">IF(($A132&lt;Inputs!$B$9*(1+0)),B132*(1-$E$116),B132)</f>
        <v>0.941666186265363</v>
      </c>
      <c r="C133" s="24" t="n">
        <f aca="false">IF(($A132&lt;Inputs!$B$9*(1+1)),C132*(1-$E$116),C132)+IF($A132&lt;Inputs!$B$9*1,B132*$E$116,0)</f>
        <v>0.0560904196688406</v>
      </c>
      <c r="D133" s="24" t="n">
        <f aca="false">IF(($A132&lt;Inputs!$B$9*(1+2)),D132*(1-$E$116),D132)+IF($A132&lt;Inputs!$B$9*2,C132*$E$116,0)</f>
        <v>0.0021979325688748</v>
      </c>
      <c r="E133" s="24" t="n">
        <f aca="false">IF(($A132&lt;Inputs!$B$9*(1+3)),E132*(1-$E$116),E132)+IF($A132&lt;Inputs!$B$9*3,D132*$E$116,0)</f>
        <v>4.48472695567391E-005</v>
      </c>
      <c r="F133" s="24" t="n">
        <f aca="false">IF(($A132&lt;Inputs!$B$9*(1+4)),F132*(1-$E$116),F132)+IF($A132&lt;Inputs!$B$9*4,E132*$E$116,0)+IF(($A132&lt;Inputs!$B$9*(1+4)),F132*$E$116,0)</f>
        <v>6.14227365299808E-007</v>
      </c>
      <c r="G133" s="24" t="n">
        <f aca="false">IF($A133&lt;Inputs!$B$9*(1+0),B133,0)+IF($A133&lt;Inputs!$B$9*(1+1),C133,0)+IF($A133&lt;Inputs!$B$9*(1+2),D133,0)+IF($A133&lt;Inputs!$B$9*(1+3),E133,0)+IF($A133&lt;Inputs!$B$9*(1+4),F133,0)</f>
        <v>0.0583338137346374</v>
      </c>
    </row>
    <row r="134" customFormat="false" ht="15" hidden="false" customHeight="false" outlineLevel="0" collapsed="false">
      <c r="A134" s="4" t="n">
        <v>13</v>
      </c>
      <c r="B134" s="24" t="n">
        <f aca="false">IF(($A133&lt;Inputs!$B$9*(1+0)),B133*(1-$E$116),B133)</f>
        <v>0.941666186265363</v>
      </c>
      <c r="C134" s="24" t="n">
        <f aca="false">IF(($A133&lt;Inputs!$B$9*(1+1)),C133*(1-$E$116),C133)+IF($A133&lt;Inputs!$B$9*1,B133*$E$116,0)</f>
        <v>0.0557543024933434</v>
      </c>
      <c r="D134" s="24" t="n">
        <f aca="false">IF(($A133&lt;Inputs!$B$9*(1+2)),D133*(1-$E$116),D133)+IF($A133&lt;Inputs!$B$9*2,C133*$E$116,0)</f>
        <v>0.0025208788162287</v>
      </c>
      <c r="E134" s="24" t="n">
        <f aca="false">IF(($A133&lt;Inputs!$B$9*(1+3)),E133*(1-$E$116),E133)+IF($A133&lt;Inputs!$B$9*3,D133*$E$116,0)</f>
        <v>5.77494541665874E-005</v>
      </c>
      <c r="F134" s="24" t="n">
        <f aca="false">IF(($A133&lt;Inputs!$B$9*(1+4)),F133*(1-$E$116),F133)+IF($A133&lt;Inputs!$B$9*4,E133*$E$116,0)+IF(($A133&lt;Inputs!$B$9*(1+4)),F133*$E$116,0)</f>
        <v>8.82970898708327E-007</v>
      </c>
      <c r="G134" s="24" t="n">
        <f aca="false">IF($A134&lt;Inputs!$B$9*(1+0),B134,0)+IF($A134&lt;Inputs!$B$9*(1+1),C134,0)+IF($A134&lt;Inputs!$B$9*(1+2),D134,0)+IF($A134&lt;Inputs!$B$9*(1+3),E134,0)+IF($A134&lt;Inputs!$B$9*(1+4),F134,0)</f>
        <v>0.0583338137346374</v>
      </c>
    </row>
    <row r="135" customFormat="false" ht="15" hidden="false" customHeight="false" outlineLevel="0" collapsed="false">
      <c r="A135" s="4" t="n">
        <v>14</v>
      </c>
      <c r="B135" s="24" t="n">
        <f aca="false">IF(($A134&lt;Inputs!$B$9*(1+0)),B134*(1-$E$116),B134)</f>
        <v>0.941666186265363</v>
      </c>
      <c r="C135" s="24" t="n">
        <f aca="false">IF(($A134&lt;Inputs!$B$9*(1+1)),C134*(1-$E$116),C134)+IF($A134&lt;Inputs!$B$9*1,B134*$E$116,0)</f>
        <v>0.0554201994720696</v>
      </c>
      <c r="D135" s="24" t="n">
        <f aca="false">IF(($A134&lt;Inputs!$B$9*(1+2)),D134*(1-$E$116),D134)+IF($A134&lt;Inputs!$B$9*2,C134*$E$116,0)</f>
        <v>0.00283987568082758</v>
      </c>
      <c r="E135" s="24" t="n">
        <f aca="false">IF(($A134&lt;Inputs!$B$9*(1+3)),E134*(1-$E$116),E134)+IF($A134&lt;Inputs!$B$9*3,D134*$E$116,0)</f>
        <v>7.25095520397783E-005</v>
      </c>
      <c r="F135" s="24" t="n">
        <f aca="false">IF(($A134&lt;Inputs!$B$9*(1+4)),F134*(1-$E$116),F134)+IF($A134&lt;Inputs!$B$9*4,E134*$E$116,0)+IF(($A134&lt;Inputs!$B$9*(1+4)),F134*$E$116,0)</f>
        <v>1.22902970047121E-006</v>
      </c>
      <c r="G135" s="24" t="n">
        <f aca="false">IF($A135&lt;Inputs!$B$9*(1+0),B135,0)+IF($A135&lt;Inputs!$B$9*(1+1),C135,0)+IF($A135&lt;Inputs!$B$9*(1+2),D135,0)+IF($A135&lt;Inputs!$B$9*(1+3),E135,0)+IF($A135&lt;Inputs!$B$9*(1+4),F135,0)</f>
        <v>0.0583338137346374</v>
      </c>
    </row>
    <row r="136" customFormat="false" ht="15" hidden="false" customHeight="false" outlineLevel="0" collapsed="false">
      <c r="A136" s="4" t="n">
        <v>15</v>
      </c>
      <c r="B136" s="24" t="n">
        <f aca="false">IF(($A135&lt;Inputs!$B$9*(1+0)),B135*(1-$E$116),B135)</f>
        <v>0.941666186265363</v>
      </c>
      <c r="C136" s="24" t="n">
        <f aca="false">IF(($A135&lt;Inputs!$B$9*(1+1)),C135*(1-$E$116),C135)+IF($A135&lt;Inputs!$B$9*1,B135*$E$116,0)</f>
        <v>0.0550880985353674</v>
      </c>
      <c r="D136" s="24" t="n">
        <f aca="false">IF(($A135&lt;Inputs!$B$9*(1+2)),D135*(1-$E$116),D135)+IF($A135&lt;Inputs!$B$9*2,C135*$E$116,0)</f>
        <v>0.00315495889867086</v>
      </c>
      <c r="E136" s="24" t="n">
        <f aca="false">IF(($A135&lt;Inputs!$B$9*(1+3)),E135*(1-$E$116),E135)+IF($A135&lt;Inputs!$B$9*3,D135*$E$116,0)</f>
        <v>8.90927634378451E-005</v>
      </c>
      <c r="F136" s="24" t="n">
        <f aca="false">IF(($A135&lt;Inputs!$B$9*(1+4)),F135*(1-$E$116),F135)+IF($A135&lt;Inputs!$B$9*4,E135*$E$116,0)+IF(($A135&lt;Inputs!$B$9*(1+4)),F135*$E$116,0)</f>
        <v>1.66353716131864E-006</v>
      </c>
      <c r="G136" s="24" t="n">
        <f aca="false">IF($A136&lt;Inputs!$B$9*(1+0),B136,0)+IF($A136&lt;Inputs!$B$9*(1+1),C136,0)+IF($A136&lt;Inputs!$B$9*(1+2),D136,0)+IF($A136&lt;Inputs!$B$9*(1+3),E136,0)+IF($A136&lt;Inputs!$B$9*(1+4),F136,0)</f>
        <v>0.0583338137346374</v>
      </c>
    </row>
    <row r="137" customFormat="false" ht="15" hidden="false" customHeight="false" outlineLevel="0" collapsed="false">
      <c r="A137" s="4" t="n">
        <v>16</v>
      </c>
      <c r="B137" s="24" t="n">
        <f aca="false">IF(($A136&lt;Inputs!$B$9*(1+0)),B136*(1-$E$116),B136)</f>
        <v>0.941666186265363</v>
      </c>
      <c r="C137" s="24" t="n">
        <f aca="false">IF(($A136&lt;Inputs!$B$9*(1+1)),C136*(1-$E$116),C136)+IF($A136&lt;Inputs!$B$9*1,B136*$E$116,0)</f>
        <v>0.0547579876859115</v>
      </c>
      <c r="D137" s="24" t="n">
        <f aca="false">IF(($A136&lt;Inputs!$B$9*(1+2)),D136*(1-$E$116),D136)+IF($A136&lt;Inputs!$B$9*2,C136*$E$116,0)</f>
        <v>0.00346616391928659</v>
      </c>
      <c r="E137" s="24" t="n">
        <f aca="false">IF(($A136&lt;Inputs!$B$9*(1+3)),E136*(1-$E$116),E136)+IF($A136&lt;Inputs!$B$9*3,D136*$E$116,0)</f>
        <v>0.000107464711301865</v>
      </c>
      <c r="F137" s="24" t="n">
        <f aca="false">IF(($A136&lt;Inputs!$B$9*(1+4)),F136*(1-$E$116),F136)+IF($A136&lt;Inputs!$B$9*4,E136*$E$116,0)+IF(($A136&lt;Inputs!$B$9*(1+4)),F136*$E$116,0)</f>
        <v>2.19741813744192E-006</v>
      </c>
      <c r="G137" s="24" t="n">
        <f aca="false">IF($A137&lt;Inputs!$B$9*(1+0),B137,0)+IF($A137&lt;Inputs!$B$9*(1+1),C137,0)+IF($A137&lt;Inputs!$B$9*(1+2),D137,0)+IF($A137&lt;Inputs!$B$9*(1+3),E137,0)+IF($A137&lt;Inputs!$B$9*(1+4),F137,0)</f>
        <v>0.0583338137346374</v>
      </c>
    </row>
    <row r="138" customFormat="false" ht="15" hidden="false" customHeight="false" outlineLevel="0" collapsed="false">
      <c r="A138" s="4" t="n">
        <v>17</v>
      </c>
      <c r="B138" s="24" t="n">
        <f aca="false">IF(($A137&lt;Inputs!$B$9*(1+0)),B137*(1-$E$116),B137)</f>
        <v>0.941666186265363</v>
      </c>
      <c r="C138" s="24" t="n">
        <f aca="false">IF(($A137&lt;Inputs!$B$9*(1+1)),C137*(1-$E$116),C137)+IF($A137&lt;Inputs!$B$9*1,B137*$E$116,0)</f>
        <v>0.0544298549982697</v>
      </c>
      <c r="D138" s="24" t="n">
        <f aca="false">IF(($A137&lt;Inputs!$B$9*(1+2)),D137*(1-$E$116),D137)+IF($A137&lt;Inputs!$B$9*2,C137*$E$116,0)</f>
        <v>0.00377352590788146</v>
      </c>
      <c r="E138" s="24" t="n">
        <f aca="false">IF(($A137&lt;Inputs!$B$9*(1+3)),E137*(1-$E$116),E137)+IF($A137&lt;Inputs!$B$9*3,D137*$E$116,0)</f>
        <v>0.00012759143700293</v>
      </c>
      <c r="F138" s="24" t="n">
        <f aca="false">IF(($A137&lt;Inputs!$B$9*(1+4)),F137*(1-$E$116),F137)+IF($A137&lt;Inputs!$B$9*4,E137*$E$116,0)+IF(($A137&lt;Inputs!$B$9*(1+4)),F137*$E$116,0)</f>
        <v>2.84139148336549E-006</v>
      </c>
      <c r="G138" s="24" t="n">
        <f aca="false">IF($A138&lt;Inputs!$B$9*(1+0),B138,0)+IF($A138&lt;Inputs!$B$9*(1+1),C138,0)+IF($A138&lt;Inputs!$B$9*(1+2),D138,0)+IF($A138&lt;Inputs!$B$9*(1+3),E138,0)+IF($A138&lt;Inputs!$B$9*(1+4),F138,0)</f>
        <v>0.0583338137346374</v>
      </c>
    </row>
    <row r="139" customFormat="false" ht="15" hidden="false" customHeight="false" outlineLevel="0" collapsed="false">
      <c r="A139" s="4" t="n">
        <v>18</v>
      </c>
      <c r="B139" s="24" t="n">
        <f aca="false">IF(($A138&lt;Inputs!$B$9*(1+0)),B138*(1-$E$116),B138)</f>
        <v>0.941666186265363</v>
      </c>
      <c r="C139" s="24" t="n">
        <f aca="false">IF(($A138&lt;Inputs!$B$9*(1+1)),C138*(1-$E$116),C138)+IF($A138&lt;Inputs!$B$9*1,B138*$E$116,0)</f>
        <v>0.0541036886184716</v>
      </c>
      <c r="D139" s="24" t="n">
        <f aca="false">IF(($A138&lt;Inputs!$B$9*(1+2)),D138*(1-$E$116),D138)+IF($A138&lt;Inputs!$B$9*2,C138*$E$116,0)</f>
        <v>0.00407707974747547</v>
      </c>
      <c r="E139" s="24" t="n">
        <f aca="false">IF(($A138&lt;Inputs!$B$9*(1+3)),E138*(1-$E$116),E138)+IF($A138&lt;Inputs!$B$9*3,D138*$E$116,0)</f>
        <v>0.000149439396130969</v>
      </c>
      <c r="F139" s="24" t="n">
        <f aca="false">IF(($A138&lt;Inputs!$B$9*(1+4)),F138*(1-$E$116),F138)+IF($A138&lt;Inputs!$B$9*4,E138*$E$116,0)+IF(($A138&lt;Inputs!$B$9*(1+4)),F138*$E$116,0)</f>
        <v>3.60597255935399E-006</v>
      </c>
      <c r="G139" s="24" t="n">
        <f aca="false">IF($A139&lt;Inputs!$B$9*(1+0),B139,0)+IF($A139&lt;Inputs!$B$9*(1+1),C139,0)+IF($A139&lt;Inputs!$B$9*(1+2),D139,0)+IF($A139&lt;Inputs!$B$9*(1+3),E139,0)+IF($A139&lt;Inputs!$B$9*(1+4),F139,0)</f>
        <v>0.0583338137346374</v>
      </c>
    </row>
    <row r="140" customFormat="false" ht="15" hidden="false" customHeight="false" outlineLevel="0" collapsed="false">
      <c r="A140" s="4" t="n">
        <v>19</v>
      </c>
      <c r="B140" s="24" t="n">
        <f aca="false">IF(($A139&lt;Inputs!$B$9*(1+0)),B139*(1-$E$116),B139)</f>
        <v>0.941666186265363</v>
      </c>
      <c r="C140" s="24" t="n">
        <f aca="false">IF(($A139&lt;Inputs!$B$9*(1+1)),C139*(1-$E$116),C139)+IF($A139&lt;Inputs!$B$9*1,B139*$E$116,0)</f>
        <v>0.0537794767635812</v>
      </c>
      <c r="D140" s="24" t="n">
        <f aca="false">IF(($A139&lt;Inputs!$B$9*(1+2)),D139*(1-$E$116),D139)+IF($A139&lt;Inputs!$B$9*2,C139*$E$116,0)</f>
        <v>0.00437686004102107</v>
      </c>
      <c r="E140" s="24" t="n">
        <f aca="false">IF(($A139&lt;Inputs!$B$9*(1+3)),E139*(1-$E$116),E139)+IF($A139&lt;Inputs!$B$9*3,D139*$E$116,0)</f>
        <v>0.000172975454321598</v>
      </c>
      <c r="F140" s="24" t="n">
        <f aca="false">IF(($A139&lt;Inputs!$B$9*(1+4)),F139*(1-$E$116),F139)+IF($A139&lt;Inputs!$B$9*4,E139*$E$116,0)+IF(($A139&lt;Inputs!$B$9*(1+4)),F139*$E$116,0)</f>
        <v>4.50147571358419E-006</v>
      </c>
      <c r="G140" s="24" t="n">
        <f aca="false">IF($A140&lt;Inputs!$B$9*(1+0),B140,0)+IF($A140&lt;Inputs!$B$9*(1+1),C140,0)+IF($A140&lt;Inputs!$B$9*(1+2),D140,0)+IF($A140&lt;Inputs!$B$9*(1+3),E140,0)+IF($A140&lt;Inputs!$B$9*(1+4),F140,0)</f>
        <v>0.0583338137346374</v>
      </c>
    </row>
    <row r="141" customFormat="false" ht="15" hidden="false" customHeight="false" outlineLevel="0" collapsed="false">
      <c r="A141" s="4" t="n">
        <v>20</v>
      </c>
      <c r="B141" s="24" t="n">
        <f aca="false">IF(($A140&lt;Inputs!$B$9*(1+0)),B140*(1-$E$116),B140)</f>
        <v>0.941666186265363</v>
      </c>
      <c r="C141" s="24" t="n">
        <f aca="false">IF(($A140&lt;Inputs!$B$9*(1+1)),C140*(1-$E$116),C140)+IF($A140&lt;Inputs!$B$9*1,B140*$E$116,0)</f>
        <v>0.0534572077212704</v>
      </c>
      <c r="D141" s="24" t="n">
        <f aca="false">IF(($A140&lt;Inputs!$B$9*(1+2)),D140*(1-$E$116),D140)+IF($A140&lt;Inputs!$B$9*2,C140*$E$116,0)</f>
        <v>0.00467290111350711</v>
      </c>
      <c r="E141" s="24" t="n">
        <f aca="false">IF(($A140&lt;Inputs!$B$9*(1+3)),E140*(1-$E$116),E140)+IF($A140&lt;Inputs!$B$9*3,D140*$E$116,0)</f>
        <v>0.000198166883120666</v>
      </c>
      <c r="F141" s="24" t="n">
        <f aca="false">IF(($A140&lt;Inputs!$B$9*(1+4)),F140*(1-$E$116),F140)+IF($A140&lt;Inputs!$B$9*4,E140*$E$116,0)+IF(($A140&lt;Inputs!$B$9*(1+4)),F140*$E$116,0)</f>
        <v>5.53801673930969E-006</v>
      </c>
      <c r="G141" s="24" t="n">
        <f aca="false">IF($A141&lt;Inputs!$B$9*(1+0),B141,0)+IF($A141&lt;Inputs!$B$9*(1+1),C141,0)+IF($A141&lt;Inputs!$B$9*(1+2),D141,0)+IF($A141&lt;Inputs!$B$9*(1+3),E141,0)+IF($A141&lt;Inputs!$B$9*(1+4),F141,0)</f>
        <v>0.00487660601336708</v>
      </c>
    </row>
    <row r="142" customFormat="false" ht="15" hidden="false" customHeight="false" outlineLevel="0" collapsed="false">
      <c r="A142" s="4" t="n">
        <v>21</v>
      </c>
      <c r="B142" s="24" t="n">
        <f aca="false">IF(($A141&lt;Inputs!$B$9*(1+0)),B141*(1-$E$116),B141)</f>
        <v>0.941666186265363</v>
      </c>
      <c r="C142" s="24" t="n">
        <f aca="false">IF(($A141&lt;Inputs!$B$9*(1+1)),C141*(1-$E$116),C141)+IF($A141&lt;Inputs!$B$9*1,B141*$E$116,0)</f>
        <v>0.0534572077212704</v>
      </c>
      <c r="D142" s="24" t="n">
        <f aca="false">IF(($A141&lt;Inputs!$B$9*(1+2)),D141*(1-$E$116),D141)+IF($A141&lt;Inputs!$B$9*2,C141*$E$116,0)</f>
        <v>0.00464489914217363</v>
      </c>
      <c r="E142" s="24" t="n">
        <f aca="false">IF(($A141&lt;Inputs!$B$9*(1+3)),E141*(1-$E$116),E141)+IF($A141&lt;Inputs!$B$9*3,D141*$E$116,0)</f>
        <v>0.000224981355886208</v>
      </c>
      <c r="F142" s="24" t="n">
        <f aca="false">IF(($A141&lt;Inputs!$B$9*(1+4)),F141*(1-$E$116),F141)+IF($A141&lt;Inputs!$B$9*4,E141*$E$116,0)+IF(($A141&lt;Inputs!$B$9*(1+4)),F141*$E$116,0)</f>
        <v>6.72551530724421E-006</v>
      </c>
      <c r="G142" s="24" t="n">
        <f aca="false">IF($A142&lt;Inputs!$B$9*(1+0),B142,0)+IF($A142&lt;Inputs!$B$9*(1+1),C142,0)+IF($A142&lt;Inputs!$B$9*(1+2),D142,0)+IF($A142&lt;Inputs!$B$9*(1+3),E142,0)+IF($A142&lt;Inputs!$B$9*(1+4),F142,0)</f>
        <v>0.00487660601336708</v>
      </c>
    </row>
    <row r="143" customFormat="false" ht="15" hidden="false" customHeight="false" outlineLevel="0" collapsed="false">
      <c r="A143" s="4" t="n">
        <v>22</v>
      </c>
      <c r="B143" s="24" t="n">
        <f aca="false">IF(($A142&lt;Inputs!$B$9*(1+0)),B142*(1-$E$116),B142)</f>
        <v>0.941666186265363</v>
      </c>
      <c r="C143" s="24" t="n">
        <f aca="false">IF(($A142&lt;Inputs!$B$9*(1+1)),C142*(1-$E$116),C142)+IF($A142&lt;Inputs!$B$9*1,B142*$E$116,0)</f>
        <v>0.0534572077212704</v>
      </c>
      <c r="D143" s="24" t="n">
        <f aca="false">IF(($A142&lt;Inputs!$B$9*(1+2)),D142*(1-$E$116),D142)+IF($A142&lt;Inputs!$B$9*2,C142*$E$116,0)</f>
        <v>0.00461706497032478</v>
      </c>
      <c r="E143" s="24" t="n">
        <f aca="false">IF(($A142&lt;Inputs!$B$9*(1+3)),E142*(1-$E$116),E142)+IF($A142&lt;Inputs!$B$9*3,D142*$E$116,0)</f>
        <v>0.000251467345668914</v>
      </c>
      <c r="F143" s="24" t="n">
        <f aca="false">IF(($A142&lt;Inputs!$B$9*(1+4)),F142*(1-$E$116),F142)+IF($A142&lt;Inputs!$B$9*4,E142*$E$116,0)+IF(($A142&lt;Inputs!$B$9*(1+4)),F142*$E$116,0)</f>
        <v>8.07369737338771E-006</v>
      </c>
      <c r="G143" s="24" t="n">
        <f aca="false">IF($A143&lt;Inputs!$B$9*(1+0),B143,0)+IF($A143&lt;Inputs!$B$9*(1+1),C143,0)+IF($A143&lt;Inputs!$B$9*(1+2),D143,0)+IF($A143&lt;Inputs!$B$9*(1+3),E143,0)+IF($A143&lt;Inputs!$B$9*(1+4),F143,0)</f>
        <v>0.00487660601336708</v>
      </c>
    </row>
    <row r="144" customFormat="false" ht="15" hidden="false" customHeight="false" outlineLevel="0" collapsed="false">
      <c r="A144" s="4" t="n">
        <v>23</v>
      </c>
      <c r="B144" s="24" t="n">
        <f aca="false">IF(($A143&lt;Inputs!$B$9*(1+0)),B143*(1-$E$116),B143)</f>
        <v>0.941666186265363</v>
      </c>
      <c r="C144" s="24" t="n">
        <f aca="false">IF(($A143&lt;Inputs!$B$9*(1+1)),C143*(1-$E$116),C143)+IF($A143&lt;Inputs!$B$9*1,B143*$E$116,0)</f>
        <v>0.0534572077212704</v>
      </c>
      <c r="D144" s="24" t="n">
        <f aca="false">IF(($A143&lt;Inputs!$B$9*(1+2)),D143*(1-$E$116),D143)+IF($A143&lt;Inputs!$B$9*2,C143*$E$116,0)</f>
        <v>0.0045893975924361</v>
      </c>
      <c r="E144" s="24" t="n">
        <f aca="false">IF(($A143&lt;Inputs!$B$9*(1+3)),E143*(1-$E$116),E143)+IF($A143&lt;Inputs!$B$9*3,D143*$E$116,0)</f>
        <v>0.0002776278264002</v>
      </c>
      <c r="F144" s="24" t="n">
        <f aca="false">IF(($A143&lt;Inputs!$B$9*(1+4)),F143*(1-$E$116),F143)+IF($A143&lt;Inputs!$B$9*4,E143*$E$116,0)+IF(($A143&lt;Inputs!$B$9*(1+4)),F143*$E$116,0)</f>
        <v>9.58059453078155E-006</v>
      </c>
      <c r="G144" s="24" t="n">
        <f aca="false">IF($A144&lt;Inputs!$B$9*(1+0),B144,0)+IF($A144&lt;Inputs!$B$9*(1+1),C144,0)+IF($A144&lt;Inputs!$B$9*(1+2),D144,0)+IF($A144&lt;Inputs!$B$9*(1+3),E144,0)+IF($A144&lt;Inputs!$B$9*(1+4),F144,0)</f>
        <v>0.00487660601336708</v>
      </c>
    </row>
    <row r="145" customFormat="false" ht="15" hidden="false" customHeight="false" outlineLevel="0" collapsed="false">
      <c r="A145" s="4" t="n">
        <v>24</v>
      </c>
      <c r="B145" s="24" t="n">
        <f aca="false">IF(($A144&lt;Inputs!$B$9*(1+0)),B144*(1-$E$116),B144)</f>
        <v>0.941666186265363</v>
      </c>
      <c r="C145" s="24" t="n">
        <f aca="false">IF(($A144&lt;Inputs!$B$9*(1+1)),C144*(1-$E$116),C144)+IF($A144&lt;Inputs!$B$9*1,B144*$E$116,0)</f>
        <v>0.0534572077212704</v>
      </c>
      <c r="D145" s="24" t="n">
        <f aca="false">IF(($A144&lt;Inputs!$B$9*(1+2)),D144*(1-$E$116),D144)+IF($A144&lt;Inputs!$B$9*2,C144*$E$116,0)</f>
        <v>0.00456189600900866</v>
      </c>
      <c r="E145" s="24" t="n">
        <f aca="false">IF(($A144&lt;Inputs!$B$9*(1+3)),E144*(1-$E$116),E144)+IF($A144&lt;Inputs!$B$9*3,D144*$E$116,0)</f>
        <v>0.000303465748164924</v>
      </c>
      <c r="F145" s="24" t="n">
        <f aca="false">IF(($A144&lt;Inputs!$B$9*(1+4)),F144*(1-$E$116),F144)+IF($A144&lt;Inputs!$B$9*4,E144*$E$116,0)+IF(($A144&lt;Inputs!$B$9*(1+4)),F144*$E$116,0)</f>
        <v>1.12442561935038E-005</v>
      </c>
      <c r="G145" s="24" t="n">
        <f aca="false">IF($A145&lt;Inputs!$B$9*(1+0),B145,0)+IF($A145&lt;Inputs!$B$9*(1+1),C145,0)+IF($A145&lt;Inputs!$B$9*(1+2),D145,0)+IF($A145&lt;Inputs!$B$9*(1+3),E145,0)+IF($A145&lt;Inputs!$B$9*(1+4),F145,0)</f>
        <v>0.00487660601336708</v>
      </c>
    </row>
    <row r="146" customFormat="false" ht="15" hidden="false" customHeight="false" outlineLevel="0" collapsed="false">
      <c r="A146" s="4" t="n">
        <v>25</v>
      </c>
      <c r="B146" s="24" t="n">
        <f aca="false">IF(($A145&lt;Inputs!$B$9*(1+0)),B145*(1-$E$116),B145)</f>
        <v>0.941666186265363</v>
      </c>
      <c r="C146" s="24" t="n">
        <f aca="false">IF(($A145&lt;Inputs!$B$9*(1+1)),C145*(1-$E$116),C145)+IF($A145&lt;Inputs!$B$9*1,B145*$E$116,0)</f>
        <v>0.0534572077212704</v>
      </c>
      <c r="D146" s="24" t="n">
        <f aca="false">IF(($A145&lt;Inputs!$B$9*(1+2)),D145*(1-$E$116),D145)+IF($A145&lt;Inputs!$B$9*2,C145*$E$116,0)</f>
        <v>0.00453455922653292</v>
      </c>
      <c r="E146" s="24" t="n">
        <f aca="false">IF(($A145&lt;Inputs!$B$9*(1+3)),E145*(1-$E$116),E145)+IF($A145&lt;Inputs!$B$9*3,D145*$E$116,0)</f>
        <v>0.000328984037380392</v>
      </c>
      <c r="F146" s="24" t="n">
        <f aca="false">IF(($A145&lt;Inputs!$B$9*(1+4)),F145*(1-$E$116),F145)+IF($A145&lt;Inputs!$B$9*4,E145*$E$116,0)+IF(($A145&lt;Inputs!$B$9*(1+4)),F145*$E$116,0)</f>
        <v>1.30627494537707E-005</v>
      </c>
      <c r="G146" s="24" t="n">
        <f aca="false">IF($A146&lt;Inputs!$B$9*(1+0),B146,0)+IF($A146&lt;Inputs!$B$9*(1+1),C146,0)+IF($A146&lt;Inputs!$B$9*(1+2),D146,0)+IF($A146&lt;Inputs!$B$9*(1+3),E146,0)+IF($A146&lt;Inputs!$B$9*(1+4),F146,0)</f>
        <v>0.00487660601336708</v>
      </c>
    </row>
    <row r="147" customFormat="false" ht="15" hidden="false" customHeight="false" outlineLevel="0" collapsed="false">
      <c r="A147" s="4" t="n">
        <v>26</v>
      </c>
      <c r="B147" s="24" t="n">
        <f aca="false">IF(($A146&lt;Inputs!$B$9*(1+0)),B146*(1-$E$116),B146)</f>
        <v>0.941666186265363</v>
      </c>
      <c r="C147" s="24" t="n">
        <f aca="false">IF(($A146&lt;Inputs!$B$9*(1+1)),C146*(1-$E$116),C146)+IF($A146&lt;Inputs!$B$9*1,B146*$E$116,0)</f>
        <v>0.0534572077212704</v>
      </c>
      <c r="D147" s="24" t="n">
        <f aca="false">IF(($A146&lt;Inputs!$B$9*(1+2)),D146*(1-$E$116),D146)+IF($A146&lt;Inputs!$B$9*2,C146*$E$116,0)</f>
        <v>0.0045073862574529</v>
      </c>
      <c r="E147" s="24" t="n">
        <f aca="false">IF(($A146&lt;Inputs!$B$9*(1+3)),E146*(1-$E$116),E146)+IF($A146&lt;Inputs!$B$9*3,D146*$E$116,0)</f>
        <v>0.000354185596974073</v>
      </c>
      <c r="F147" s="24" t="n">
        <f aca="false">IF(($A146&lt;Inputs!$B$9*(1+4)),F146*(1-$E$116),F146)+IF($A146&lt;Inputs!$B$9*4,E146*$E$116,0)+IF(($A146&lt;Inputs!$B$9*(1+4)),F146*$E$116,0)</f>
        <v>1.50341589401108E-005</v>
      </c>
      <c r="G147" s="24" t="n">
        <f aca="false">IF($A147&lt;Inputs!$B$9*(1+0),B147,0)+IF($A147&lt;Inputs!$B$9*(1+1),C147,0)+IF($A147&lt;Inputs!$B$9*(1+2),D147,0)+IF($A147&lt;Inputs!$B$9*(1+3),E147,0)+IF($A147&lt;Inputs!$B$9*(1+4),F147,0)</f>
        <v>0.00487660601336708</v>
      </c>
    </row>
    <row r="148" customFormat="false" ht="15" hidden="false" customHeight="false" outlineLevel="0" collapsed="false">
      <c r="A148" s="4" t="n">
        <v>27</v>
      </c>
      <c r="B148" s="24" t="n">
        <f aca="false">IF(($A147&lt;Inputs!$B$9*(1+0)),B147*(1-$E$116),B147)</f>
        <v>0.941666186265363</v>
      </c>
      <c r="C148" s="24" t="n">
        <f aca="false">IF(($A147&lt;Inputs!$B$9*(1+1)),C147*(1-$E$116),C147)+IF($A147&lt;Inputs!$B$9*1,B147*$E$116,0)</f>
        <v>0.0534572077212704</v>
      </c>
      <c r="D148" s="24" t="n">
        <f aca="false">IF(($A147&lt;Inputs!$B$9*(1+2)),D147*(1-$E$116),D147)+IF($A147&lt;Inputs!$B$9*2,C147*$E$116,0)</f>
        <v>0.00448037612013044</v>
      </c>
      <c r="E148" s="24" t="n">
        <f aca="false">IF(($A147&lt;Inputs!$B$9*(1+3)),E147*(1-$E$116),E147)+IF($A147&lt;Inputs!$B$9*3,D147*$E$116,0)</f>
        <v>0.000379073306560039</v>
      </c>
      <c r="F148" s="24" t="n">
        <f aca="false">IF(($A147&lt;Inputs!$B$9*(1+4)),F147*(1-$E$116),F147)+IF($A147&lt;Inputs!$B$9*4,E147*$E$116,0)+IF(($A147&lt;Inputs!$B$9*(1+4)),F147*$E$116,0)</f>
        <v>1.71565866766041E-005</v>
      </c>
      <c r="G148" s="24" t="n">
        <f aca="false">IF($A148&lt;Inputs!$B$9*(1+0),B148,0)+IF($A148&lt;Inputs!$B$9*(1+1),C148,0)+IF($A148&lt;Inputs!$B$9*(1+2),D148,0)+IF($A148&lt;Inputs!$B$9*(1+3),E148,0)+IF($A148&lt;Inputs!$B$9*(1+4),F148,0)</f>
        <v>0.00487660601336708</v>
      </c>
    </row>
    <row r="149" customFormat="false" ht="15" hidden="false" customHeight="false" outlineLevel="0" collapsed="false">
      <c r="A149" s="4" t="n">
        <v>28</v>
      </c>
      <c r="B149" s="24" t="n">
        <f aca="false">IF(($A148&lt;Inputs!$B$9*(1+0)),B148*(1-$E$116),B148)</f>
        <v>0.941666186265363</v>
      </c>
      <c r="C149" s="24" t="n">
        <f aca="false">IF(($A148&lt;Inputs!$B$9*(1+1)),C148*(1-$E$116),C148)+IF($A148&lt;Inputs!$B$9*1,B148*$E$116,0)</f>
        <v>0.0534572077212704</v>
      </c>
      <c r="D149" s="24" t="n">
        <f aca="false">IF(($A148&lt;Inputs!$B$9*(1+2)),D148*(1-$E$116),D148)+IF($A148&lt;Inputs!$B$9*2,C148*$E$116,0)</f>
        <v>0.00445352783880978</v>
      </c>
      <c r="E149" s="24" t="n">
        <f aca="false">IF(($A148&lt;Inputs!$B$9*(1+3)),E148*(1-$E$116),E148)+IF($A148&lt;Inputs!$B$9*3,D148*$E$116,0)</f>
        <v>0.000403650022614129</v>
      </c>
      <c r="F149" s="24" t="n">
        <f aca="false">IF(($A148&lt;Inputs!$B$9*(1+4)),F148*(1-$E$116),F148)+IF($A148&lt;Inputs!$B$9*4,E148*$E$116,0)+IF(($A148&lt;Inputs!$B$9*(1+4)),F148*$E$116,0)</f>
        <v>1.94281519431787E-005</v>
      </c>
      <c r="G149" s="24" t="n">
        <f aca="false">IF($A149&lt;Inputs!$B$9*(1+0),B149,0)+IF($A149&lt;Inputs!$B$9*(1+1),C149,0)+IF($A149&lt;Inputs!$B$9*(1+2),D149,0)+IF($A149&lt;Inputs!$B$9*(1+3),E149,0)+IF($A149&lt;Inputs!$B$9*(1+4),F149,0)</f>
        <v>0.00487660601336708</v>
      </c>
    </row>
    <row r="150" customFormat="false" ht="15" hidden="false" customHeight="false" outlineLevel="0" collapsed="false">
      <c r="A150" s="4" t="n">
        <v>29</v>
      </c>
      <c r="B150" s="24" t="n">
        <f aca="false">IF(($A149&lt;Inputs!$B$9*(1+0)),B149*(1-$E$116),B149)</f>
        <v>0.941666186265363</v>
      </c>
      <c r="C150" s="24" t="n">
        <f aca="false">IF(($A149&lt;Inputs!$B$9*(1+1)),C149*(1-$E$116),C149)+IF($A149&lt;Inputs!$B$9*1,B149*$E$116,0)</f>
        <v>0.0534572077212704</v>
      </c>
      <c r="D150" s="24" t="n">
        <f aca="false">IF(($A149&lt;Inputs!$B$9*(1+2)),D149*(1-$E$116),D149)+IF($A149&lt;Inputs!$B$9*2,C149*$E$116,0)</f>
        <v>0.00442684044358228</v>
      </c>
      <c r="E150" s="24" t="n">
        <f aca="false">IF(($A149&lt;Inputs!$B$9*(1+3)),E149*(1-$E$116),E149)+IF($A149&lt;Inputs!$B$9*3,D149*$E$116,0)</f>
        <v>0.000427918578647852</v>
      </c>
      <c r="F150" s="24" t="n">
        <f aca="false">IF(($A149&lt;Inputs!$B$9*(1+4)),F149*(1-$E$116),F149)+IF($A149&lt;Inputs!$B$9*4,E149*$E$116,0)+IF(($A149&lt;Inputs!$B$9*(1+4)),F149*$E$116,0)</f>
        <v>2.18469911369563E-005</v>
      </c>
      <c r="G150" s="24" t="n">
        <f aca="false">IF($A150&lt;Inputs!$B$9*(1+0),B150,0)+IF($A150&lt;Inputs!$B$9*(1+1),C150,0)+IF($A150&lt;Inputs!$B$9*(1+2),D150,0)+IF($A150&lt;Inputs!$B$9*(1+3),E150,0)+IF($A150&lt;Inputs!$B$9*(1+4),F150,0)</f>
        <v>0.00487660601336708</v>
      </c>
    </row>
    <row r="151" customFormat="false" ht="15" hidden="false" customHeight="false" outlineLevel="0" collapsed="false">
      <c r="A151" s="4" t="n">
        <v>30</v>
      </c>
      <c r="B151" s="24" t="n">
        <f aca="false">IF(($A150&lt;Inputs!$B$9*(1+0)),B150*(1-$E$116),B150)</f>
        <v>0.941666186265363</v>
      </c>
      <c r="C151" s="24" t="n">
        <f aca="false">IF(($A150&lt;Inputs!$B$9*(1+1)),C150*(1-$E$116),C150)+IF($A150&lt;Inputs!$B$9*1,B150*$E$116,0)</f>
        <v>0.0534572077212704</v>
      </c>
      <c r="D151" s="24" t="n">
        <f aca="false">IF(($A150&lt;Inputs!$B$9*(1+2)),D150*(1-$E$116),D150)+IF($A150&lt;Inputs!$B$9*2,C150*$E$116,0)</f>
        <v>0.00440031297035141</v>
      </c>
      <c r="E151" s="24" t="n">
        <f aca="false">IF(($A150&lt;Inputs!$B$9*(1+3)),E150*(1-$E$116),E150)+IF($A150&lt;Inputs!$B$9*3,D150*$E$116,0)</f>
        <v>0.000451881785381039</v>
      </c>
      <c r="F151" s="24" t="n">
        <f aca="false">IF(($A150&lt;Inputs!$B$9*(1+4)),F150*(1-$E$116),F150)+IF($A150&lt;Inputs!$B$9*4,E150*$E$116,0)+IF(($A150&lt;Inputs!$B$9*(1+4)),F150*$E$116,0)</f>
        <v>2.44112576346409E-005</v>
      </c>
      <c r="G151" s="24" t="n">
        <f aca="false">IF($A151&lt;Inputs!$B$9*(1+0),B151,0)+IF($A151&lt;Inputs!$B$9*(1+1),C151,0)+IF($A151&lt;Inputs!$B$9*(1+2),D151,0)+IF($A151&lt;Inputs!$B$9*(1+3),E151,0)+IF($A151&lt;Inputs!$B$9*(1+4),F151,0)</f>
        <v>0.000476293043015679</v>
      </c>
    </row>
    <row r="152" customFormat="false" ht="15" hidden="false" customHeight="false" outlineLevel="0" collapsed="false">
      <c r="A152" s="4" t="n">
        <v>31</v>
      </c>
      <c r="B152" s="24" t="n">
        <f aca="false">IF(($A151&lt;Inputs!$B$9*(1+0)),B151*(1-$E$116),B151)</f>
        <v>0.941666186265363</v>
      </c>
      <c r="C152" s="24" t="n">
        <f aca="false">IF(($A151&lt;Inputs!$B$9*(1+1)),C151*(1-$E$116),C151)+IF($A151&lt;Inputs!$B$9*1,B151*$E$116,0)</f>
        <v>0.0534572077212704</v>
      </c>
      <c r="D152" s="24" t="n">
        <f aca="false">IF(($A151&lt;Inputs!$B$9*(1+2)),D151*(1-$E$116),D151)+IF($A151&lt;Inputs!$B$9*2,C151*$E$116,0)</f>
        <v>0.00440031297035141</v>
      </c>
      <c r="E152" s="24" t="n">
        <f aca="false">IF(($A151&lt;Inputs!$B$9*(1+3)),E151*(1-$E$116),E151)+IF($A151&lt;Inputs!$B$9*3,D151*$E$116,0)</f>
        <v>0.000449173921359738</v>
      </c>
      <c r="F152" s="24" t="n">
        <f aca="false">IF(($A151&lt;Inputs!$B$9*(1+4)),F151*(1-$E$116),F151)+IF($A151&lt;Inputs!$B$9*4,E151*$E$116,0)+IF(($A151&lt;Inputs!$B$9*(1+4)),F151*$E$116,0)</f>
        <v>2.71191216559412E-005</v>
      </c>
      <c r="G152" s="24" t="n">
        <f aca="false">IF($A152&lt;Inputs!$B$9*(1+0),B152,0)+IF($A152&lt;Inputs!$B$9*(1+1),C152,0)+IF($A152&lt;Inputs!$B$9*(1+2),D152,0)+IF($A152&lt;Inputs!$B$9*(1+3),E152,0)+IF($A152&lt;Inputs!$B$9*(1+4),F152,0)</f>
        <v>0.000476293043015679</v>
      </c>
    </row>
    <row r="153" customFormat="false" ht="15" hidden="false" customHeight="false" outlineLevel="0" collapsed="false">
      <c r="A153" s="4" t="n">
        <v>32</v>
      </c>
      <c r="B153" s="24" t="n">
        <f aca="false">IF(($A152&lt;Inputs!$B$9*(1+0)),B152*(1-$E$116),B152)</f>
        <v>0.941666186265363</v>
      </c>
      <c r="C153" s="24" t="n">
        <f aca="false">IF(($A152&lt;Inputs!$B$9*(1+1)),C152*(1-$E$116),C152)+IF($A152&lt;Inputs!$B$9*1,B152*$E$116,0)</f>
        <v>0.0534572077212704</v>
      </c>
      <c r="D153" s="24" t="n">
        <f aca="false">IF(($A152&lt;Inputs!$B$9*(1+2)),D152*(1-$E$116),D152)+IF($A152&lt;Inputs!$B$9*2,C152*$E$116,0)</f>
        <v>0.00440031297035141</v>
      </c>
      <c r="E153" s="24" t="n">
        <f aca="false">IF(($A152&lt;Inputs!$B$9*(1+3)),E152*(1-$E$116),E152)+IF($A152&lt;Inputs!$B$9*3,D152*$E$116,0)</f>
        <v>0.000446482283988405</v>
      </c>
      <c r="F153" s="24" t="n">
        <f aca="false">IF(($A152&lt;Inputs!$B$9*(1+4)),F152*(1-$E$116),F152)+IF($A152&lt;Inputs!$B$9*4,E152*$E$116,0)+IF(($A152&lt;Inputs!$B$9*(1+4)),F152*$E$116,0)</f>
        <v>2.98107590272745E-005</v>
      </c>
      <c r="G153" s="24" t="n">
        <f aca="false">IF($A153&lt;Inputs!$B$9*(1+0),B153,0)+IF($A153&lt;Inputs!$B$9*(1+1),C153,0)+IF($A153&lt;Inputs!$B$9*(1+2),D153,0)+IF($A153&lt;Inputs!$B$9*(1+3),E153,0)+IF($A153&lt;Inputs!$B$9*(1+4),F153,0)</f>
        <v>0.000476293043015679</v>
      </c>
    </row>
    <row r="154" customFormat="false" ht="15" hidden="false" customHeight="false" outlineLevel="0" collapsed="false">
      <c r="A154" s="4" t="n">
        <v>33</v>
      </c>
      <c r="B154" s="24" t="n">
        <f aca="false">IF(($A153&lt;Inputs!$B$9*(1+0)),B153*(1-$E$116),B153)</f>
        <v>0.941666186265363</v>
      </c>
      <c r="C154" s="24" t="n">
        <f aca="false">IF(($A153&lt;Inputs!$B$9*(1+1)),C153*(1-$E$116),C153)+IF($A153&lt;Inputs!$B$9*1,B153*$E$116,0)</f>
        <v>0.0534572077212704</v>
      </c>
      <c r="D154" s="24" t="n">
        <f aca="false">IF(($A153&lt;Inputs!$B$9*(1+2)),D153*(1-$E$116),D153)+IF($A153&lt;Inputs!$B$9*2,C153*$E$116,0)</f>
        <v>0.00440031297035141</v>
      </c>
      <c r="E154" s="24" t="n">
        <f aca="false">IF(($A153&lt;Inputs!$B$9*(1+3)),E153*(1-$E$116),E153)+IF($A153&lt;Inputs!$B$9*3,D153*$E$116,0)</f>
        <v>0.000443806776030188</v>
      </c>
      <c r="F154" s="24" t="n">
        <f aca="false">IF(($A153&lt;Inputs!$B$9*(1+4)),F153*(1-$E$116),F153)+IF($A153&lt;Inputs!$B$9*4,E153*$E$116,0)+IF(($A153&lt;Inputs!$B$9*(1+4)),F153*$E$116,0)</f>
        <v>3.24862669854913E-005</v>
      </c>
      <c r="G154" s="24" t="n">
        <f aca="false">IF($A154&lt;Inputs!$B$9*(1+0),B154,0)+IF($A154&lt;Inputs!$B$9*(1+1),C154,0)+IF($A154&lt;Inputs!$B$9*(1+2),D154,0)+IF($A154&lt;Inputs!$B$9*(1+3),E154,0)+IF($A154&lt;Inputs!$B$9*(1+4),F154,0)</f>
        <v>0.00047629304301568</v>
      </c>
    </row>
    <row r="155" customFormat="false" ht="15" hidden="false" customHeight="false" outlineLevel="0" collapsed="false">
      <c r="A155" s="4" t="n">
        <v>34</v>
      </c>
      <c r="B155" s="24" t="n">
        <f aca="false">IF(($A154&lt;Inputs!$B$9*(1+0)),B154*(1-$E$116),B154)</f>
        <v>0.941666186265363</v>
      </c>
      <c r="C155" s="24" t="n">
        <f aca="false">IF(($A154&lt;Inputs!$B$9*(1+1)),C154*(1-$E$116),C154)+IF($A154&lt;Inputs!$B$9*1,B154*$E$116,0)</f>
        <v>0.0534572077212704</v>
      </c>
      <c r="D155" s="24" t="n">
        <f aca="false">IF(($A154&lt;Inputs!$B$9*(1+2)),D154*(1-$E$116),D154)+IF($A154&lt;Inputs!$B$9*2,C154*$E$116,0)</f>
        <v>0.00440031297035141</v>
      </c>
      <c r="E155" s="24" t="n">
        <f aca="false">IF(($A154&lt;Inputs!$B$9*(1+3)),E154*(1-$E$116),E154)+IF($A154&lt;Inputs!$B$9*3,D154*$E$116,0)</f>
        <v>0.000441147300830921</v>
      </c>
      <c r="F155" s="24" t="n">
        <f aca="false">IF(($A154&lt;Inputs!$B$9*(1+4)),F154*(1-$E$116),F154)+IF($A154&lt;Inputs!$B$9*4,E154*$E$116,0)+IF(($A154&lt;Inputs!$B$9*(1+4)),F154*$E$116,0)</f>
        <v>3.51457421847585E-005</v>
      </c>
      <c r="G155" s="24" t="n">
        <f aca="false">IF($A155&lt;Inputs!$B$9*(1+0),B155,0)+IF($A155&lt;Inputs!$B$9*(1+1),C155,0)+IF($A155&lt;Inputs!$B$9*(1+2),D155,0)+IF($A155&lt;Inputs!$B$9*(1+3),E155,0)+IF($A155&lt;Inputs!$B$9*(1+4),F155,0)</f>
        <v>0.00047629304301568</v>
      </c>
    </row>
    <row r="156" customFormat="false" ht="15" hidden="false" customHeight="false" outlineLevel="0" collapsed="false">
      <c r="A156" s="4" t="n">
        <v>35</v>
      </c>
      <c r="B156" s="24" t="n">
        <f aca="false">IF(($A155&lt;Inputs!$B$9*(1+0)),B155*(1-$E$116),B155)</f>
        <v>0.941666186265363</v>
      </c>
      <c r="C156" s="24" t="n">
        <f aca="false">IF(($A155&lt;Inputs!$B$9*(1+1)),C155*(1-$E$116),C155)+IF($A155&lt;Inputs!$B$9*1,B155*$E$116,0)</f>
        <v>0.0534572077212704</v>
      </c>
      <c r="D156" s="24" t="n">
        <f aca="false">IF(($A155&lt;Inputs!$B$9*(1+2)),D155*(1-$E$116),D155)+IF($A155&lt;Inputs!$B$9*2,C155*$E$116,0)</f>
        <v>0.00440031297035141</v>
      </c>
      <c r="E156" s="24" t="n">
        <f aca="false">IF(($A155&lt;Inputs!$B$9*(1+3)),E155*(1-$E$116),E155)+IF($A155&lt;Inputs!$B$9*3,D155*$E$116,0)</f>
        <v>0.000438503762315629</v>
      </c>
      <c r="F156" s="24" t="n">
        <f aca="false">IF(($A155&lt;Inputs!$B$9*(1+4)),F155*(1-$E$116),F155)+IF($A155&lt;Inputs!$B$9*4,E155*$E$116,0)+IF(($A155&lt;Inputs!$B$9*(1+4)),F155*$E$116,0)</f>
        <v>3.77892807000507E-005</v>
      </c>
      <c r="G156" s="24" t="n">
        <f aca="false">IF($A156&lt;Inputs!$B$9*(1+0),B156,0)+IF($A156&lt;Inputs!$B$9*(1+1),C156,0)+IF($A156&lt;Inputs!$B$9*(1+2),D156,0)+IF($A156&lt;Inputs!$B$9*(1+3),E156,0)+IF($A156&lt;Inputs!$B$9*(1+4),F156,0)</f>
        <v>0.00047629304301568</v>
      </c>
    </row>
    <row r="157" customFormat="false" ht="15" hidden="false" customHeight="false" outlineLevel="0" collapsed="false">
      <c r="A157" s="4" t="n">
        <v>36</v>
      </c>
      <c r="B157" s="24" t="n">
        <f aca="false">IF(($A156&lt;Inputs!$B$9*(1+0)),B156*(1-$E$116),B156)</f>
        <v>0.941666186265363</v>
      </c>
      <c r="C157" s="24" t="n">
        <f aca="false">IF(($A156&lt;Inputs!$B$9*(1+1)),C156*(1-$E$116),C156)+IF($A156&lt;Inputs!$B$9*1,B156*$E$116,0)</f>
        <v>0.0534572077212704</v>
      </c>
      <c r="D157" s="24" t="n">
        <f aca="false">IF(($A156&lt;Inputs!$B$9*(1+2)),D156*(1-$E$116),D156)+IF($A156&lt;Inputs!$B$9*2,C156*$E$116,0)</f>
        <v>0.00440031297035141</v>
      </c>
      <c r="E157" s="24" t="n">
        <f aca="false">IF(($A156&lt;Inputs!$B$9*(1+3)),E156*(1-$E$116),E156)+IF($A156&lt;Inputs!$B$9*3,D156*$E$116,0)</f>
        <v>0.000435876064985058</v>
      </c>
      <c r="F157" s="24" t="n">
        <f aca="false">IF(($A156&lt;Inputs!$B$9*(1+4)),F156*(1-$E$116),F156)+IF($A156&lt;Inputs!$B$9*4,E156*$E$116,0)+IF(($A156&lt;Inputs!$B$9*(1+4)),F156*$E$116,0)</f>
        <v>4.04169780306215E-005</v>
      </c>
      <c r="G157" s="24" t="n">
        <f aca="false">IF($A157&lt;Inputs!$B$9*(1+0),B157,0)+IF($A157&lt;Inputs!$B$9*(1+1),C157,0)+IF($A157&lt;Inputs!$B$9*(1+2),D157,0)+IF($A157&lt;Inputs!$B$9*(1+3),E157,0)+IF($A157&lt;Inputs!$B$9*(1+4),F157,0)</f>
        <v>0.00047629304301568</v>
      </c>
    </row>
    <row r="158" customFormat="false" ht="15" hidden="false" customHeight="false" outlineLevel="0" collapsed="false">
      <c r="A158" s="4" t="n">
        <v>37</v>
      </c>
      <c r="B158" s="24" t="n">
        <f aca="false">IF(($A157&lt;Inputs!$B$9*(1+0)),B157*(1-$E$116),B157)</f>
        <v>0.941666186265363</v>
      </c>
      <c r="C158" s="24" t="n">
        <f aca="false">IF(($A157&lt;Inputs!$B$9*(1+1)),C157*(1-$E$116),C157)+IF($A157&lt;Inputs!$B$9*1,B157*$E$116,0)</f>
        <v>0.0534572077212704</v>
      </c>
      <c r="D158" s="24" t="n">
        <f aca="false">IF(($A157&lt;Inputs!$B$9*(1+2)),D157*(1-$E$116),D157)+IF($A157&lt;Inputs!$B$9*2,C157*$E$116,0)</f>
        <v>0.00440031297035141</v>
      </c>
      <c r="E158" s="24" t="n">
        <f aca="false">IF(($A157&lt;Inputs!$B$9*(1+3)),E157*(1-$E$116),E157)+IF($A157&lt;Inputs!$B$9*3,D157*$E$116,0)</f>
        <v>0.000433264113912227</v>
      </c>
      <c r="F158" s="24" t="n">
        <f aca="false">IF(($A157&lt;Inputs!$B$9*(1+4)),F157*(1-$E$116),F157)+IF($A157&lt;Inputs!$B$9*4,E157*$E$116,0)+IF(($A157&lt;Inputs!$B$9*(1+4)),F157*$E$116,0)</f>
        <v>4.30289291034529E-005</v>
      </c>
      <c r="G158" s="24" t="n">
        <f aca="false">IF($A158&lt;Inputs!$B$9*(1+0),B158,0)+IF($A158&lt;Inputs!$B$9*(1+1),C158,0)+IF($A158&lt;Inputs!$B$9*(1+2),D158,0)+IF($A158&lt;Inputs!$B$9*(1+3),E158,0)+IF($A158&lt;Inputs!$B$9*(1+4),F158,0)</f>
        <v>0.00047629304301568</v>
      </c>
    </row>
    <row r="159" customFormat="false" ht="15" hidden="false" customHeight="false" outlineLevel="0" collapsed="false">
      <c r="A159" s="4" t="n">
        <v>38</v>
      </c>
      <c r="B159" s="24" t="n">
        <f aca="false">IF(($A158&lt;Inputs!$B$9*(1+0)),B158*(1-$E$116),B158)</f>
        <v>0.941666186265363</v>
      </c>
      <c r="C159" s="24" t="n">
        <f aca="false">IF(($A158&lt;Inputs!$B$9*(1+1)),C158*(1-$E$116),C158)+IF($A158&lt;Inputs!$B$9*1,B158*$E$116,0)</f>
        <v>0.0534572077212704</v>
      </c>
      <c r="D159" s="24" t="n">
        <f aca="false">IF(($A158&lt;Inputs!$B$9*(1+2)),D158*(1-$E$116),D158)+IF($A158&lt;Inputs!$B$9*2,C158*$E$116,0)</f>
        <v>0.00440031297035141</v>
      </c>
      <c r="E159" s="24" t="n">
        <f aca="false">IF(($A158&lt;Inputs!$B$9*(1+3)),E158*(1-$E$116),E158)+IF($A158&lt;Inputs!$B$9*3,D158*$E$116,0)</f>
        <v>0.000430667814738994</v>
      </c>
      <c r="F159" s="24" t="n">
        <f aca="false">IF(($A158&lt;Inputs!$B$9*(1+4)),F158*(1-$E$116),F158)+IF($A158&lt;Inputs!$B$9*4,E158*$E$116,0)+IF(($A158&lt;Inputs!$B$9*(1+4)),F158*$E$116,0)</f>
        <v>4.56252282766851E-005</v>
      </c>
      <c r="G159" s="24" t="n">
        <f aca="false">IF($A159&lt;Inputs!$B$9*(1+0),B159,0)+IF($A159&lt;Inputs!$B$9*(1+1),C159,0)+IF($A159&lt;Inputs!$B$9*(1+2),D159,0)+IF($A159&lt;Inputs!$B$9*(1+3),E159,0)+IF($A159&lt;Inputs!$B$9*(1+4),F159,0)</f>
        <v>0.00047629304301568</v>
      </c>
    </row>
    <row r="160" customFormat="false" ht="15" hidden="false" customHeight="false" outlineLevel="0" collapsed="false">
      <c r="A160" s="4" t="n">
        <v>39</v>
      </c>
      <c r="B160" s="24" t="n">
        <f aca="false">IF(($A159&lt;Inputs!$B$9*(1+0)),B159*(1-$E$116),B159)</f>
        <v>0.941666186265363</v>
      </c>
      <c r="C160" s="24" t="n">
        <f aca="false">IF(($A159&lt;Inputs!$B$9*(1+1)),C159*(1-$E$116),C159)+IF($A159&lt;Inputs!$B$9*1,B159*$E$116,0)</f>
        <v>0.0534572077212704</v>
      </c>
      <c r="D160" s="24" t="n">
        <f aca="false">IF(($A159&lt;Inputs!$B$9*(1+2)),D159*(1-$E$116),D159)+IF($A159&lt;Inputs!$B$9*2,C159*$E$116,0)</f>
        <v>0.00440031297035141</v>
      </c>
      <c r="E160" s="24" t="n">
        <f aca="false">IF(($A159&lt;Inputs!$B$9*(1+3)),E159*(1-$E$116),E159)+IF($A159&lt;Inputs!$B$9*3,D159*$E$116,0)</f>
        <v>0.000428087073672655</v>
      </c>
      <c r="F160" s="24" t="n">
        <f aca="false">IF(($A159&lt;Inputs!$B$9*(1+4)),F159*(1-$E$116),F159)+IF($A159&lt;Inputs!$B$9*4,E159*$E$116,0)+IF(($A159&lt;Inputs!$B$9*(1+4)),F159*$E$116,0)</f>
        <v>4.82059693430248E-005</v>
      </c>
      <c r="G160" s="24" t="n">
        <f aca="false">IF($A160&lt;Inputs!$B$9*(1+0),B160,0)+IF($A160&lt;Inputs!$B$9*(1+1),C160,0)+IF($A160&lt;Inputs!$B$9*(1+2),D160,0)+IF($A160&lt;Inputs!$B$9*(1+3),E160,0)+IF($A160&lt;Inputs!$B$9*(1+4),F160,0)</f>
        <v>0.00047629304301568</v>
      </c>
    </row>
    <row r="161" customFormat="false" ht="15" hidden="false" customHeight="false" outlineLevel="0" collapsed="false">
      <c r="A161" s="4" t="n">
        <v>40</v>
      </c>
      <c r="B161" s="24" t="n">
        <f aca="false">IF(($A160&lt;Inputs!$B$9*(1+0)),B160*(1-$E$116),B160)</f>
        <v>0.941666186265363</v>
      </c>
      <c r="C161" s="24" t="n">
        <f aca="false">IF(($A160&lt;Inputs!$B$9*(1+1)),C160*(1-$E$116),C160)+IF($A160&lt;Inputs!$B$9*1,B160*$E$116,0)</f>
        <v>0.0534572077212704</v>
      </c>
      <c r="D161" s="24" t="n">
        <f aca="false">IF(($A160&lt;Inputs!$B$9*(1+2)),D160*(1-$E$116),D160)+IF($A160&lt;Inputs!$B$9*2,C160*$E$116,0)</f>
        <v>0.00440031297035141</v>
      </c>
      <c r="E161" s="24" t="n">
        <f aca="false">IF(($A160&lt;Inputs!$B$9*(1+3)),E160*(1-$E$116),E160)+IF($A160&lt;Inputs!$B$9*3,D160*$E$116,0)</f>
        <v>0.000425521797482546</v>
      </c>
      <c r="F161" s="24" t="n">
        <f aca="false">IF(($A160&lt;Inputs!$B$9*(1+4)),F160*(1-$E$116),F160)+IF($A160&lt;Inputs!$B$9*4,E160*$E$116,0)+IF(($A160&lt;Inputs!$B$9*(1+4)),F160*$E$116,0)</f>
        <v>5.07712455331338E-005</v>
      </c>
      <c r="G161" s="24" t="n">
        <f aca="false">IF($A161&lt;Inputs!$B$9*(1+0),B161,0)+IF($A161&lt;Inputs!$B$9*(1+1),C161,0)+IF($A161&lt;Inputs!$B$9*(1+2),D161,0)+IF($A161&lt;Inputs!$B$9*(1+3),E161,0)+IF($A161&lt;Inputs!$B$9*(1+4),F161,0)</f>
        <v>5.07712455331338E-005</v>
      </c>
    </row>
    <row r="162" customFormat="false" ht="15" hidden="false" customHeight="false" outlineLevel="0" collapsed="false">
      <c r="A162" s="4" t="n">
        <v>41</v>
      </c>
      <c r="B162" s="24" t="n">
        <f aca="false">IF(($A161&lt;Inputs!$B$9*(1+0)),B161*(1-$E$116),B161)</f>
        <v>0.941666186265363</v>
      </c>
      <c r="C162" s="24" t="n">
        <f aca="false">IF(($A161&lt;Inputs!$B$9*(1+1)),C161*(1-$E$116),C161)+IF($A161&lt;Inputs!$B$9*1,B161*$E$116,0)</f>
        <v>0.0534572077212704</v>
      </c>
      <c r="D162" s="24" t="n">
        <f aca="false">IF(($A161&lt;Inputs!$B$9*(1+2)),D161*(1-$E$116),D161)+IF($A161&lt;Inputs!$B$9*2,C161*$E$116,0)</f>
        <v>0.00440031297035141</v>
      </c>
      <c r="E162" s="24" t="n">
        <f aca="false">IF(($A161&lt;Inputs!$B$9*(1+3)),E161*(1-$E$116),E161)+IF($A161&lt;Inputs!$B$9*3,D161*$E$116,0)</f>
        <v>0.000425521797482546</v>
      </c>
      <c r="F162" s="24" t="n">
        <f aca="false">IF(($A161&lt;Inputs!$B$9*(1+4)),F161*(1-$E$116),F161)+IF($A161&lt;Inputs!$B$9*4,E161*$E$116,0)+IF(($A161&lt;Inputs!$B$9*(1+4)),F161*$E$116,0)</f>
        <v>5.07712455331338E-005</v>
      </c>
      <c r="G162" s="24" t="n">
        <f aca="false">IF($A162&lt;Inputs!$B$9*(1+0),B162,0)+IF($A162&lt;Inputs!$B$9*(1+1),C162,0)+IF($A162&lt;Inputs!$B$9*(1+2),D162,0)+IF($A162&lt;Inputs!$B$9*(1+3),E162,0)+IF($A162&lt;Inputs!$B$9*(1+4),F162,0)</f>
        <v>5.07712455331338E-005</v>
      </c>
    </row>
    <row r="163" customFormat="false" ht="15" hidden="false" customHeight="false" outlineLevel="0" collapsed="false">
      <c r="A163" s="4" t="n">
        <v>42</v>
      </c>
      <c r="B163" s="24" t="n">
        <f aca="false">IF(($A162&lt;Inputs!$B$9*(1+0)),B162*(1-$E$116),B162)</f>
        <v>0.941666186265363</v>
      </c>
      <c r="C163" s="24" t="n">
        <f aca="false">IF(($A162&lt;Inputs!$B$9*(1+1)),C162*(1-$E$116),C162)+IF($A162&lt;Inputs!$B$9*1,B162*$E$116,0)</f>
        <v>0.0534572077212704</v>
      </c>
      <c r="D163" s="24" t="n">
        <f aca="false">IF(($A162&lt;Inputs!$B$9*(1+2)),D162*(1-$E$116),D162)+IF($A162&lt;Inputs!$B$9*2,C162*$E$116,0)</f>
        <v>0.00440031297035141</v>
      </c>
      <c r="E163" s="24" t="n">
        <f aca="false">IF(($A162&lt;Inputs!$B$9*(1+3)),E162*(1-$E$116),E162)+IF($A162&lt;Inputs!$B$9*3,D162*$E$116,0)</f>
        <v>0.000425521797482546</v>
      </c>
      <c r="F163" s="24" t="n">
        <f aca="false">IF(($A162&lt;Inputs!$B$9*(1+4)),F162*(1-$E$116),F162)+IF($A162&lt;Inputs!$B$9*4,E162*$E$116,0)+IF(($A162&lt;Inputs!$B$9*(1+4)),F162*$E$116,0)</f>
        <v>5.07712455331338E-005</v>
      </c>
      <c r="G163" s="24" t="n">
        <f aca="false">IF($A163&lt;Inputs!$B$9*(1+0),B163,0)+IF($A163&lt;Inputs!$B$9*(1+1),C163,0)+IF($A163&lt;Inputs!$B$9*(1+2),D163,0)+IF($A163&lt;Inputs!$B$9*(1+3),E163,0)+IF($A163&lt;Inputs!$B$9*(1+4),F163,0)</f>
        <v>5.07712455331338E-005</v>
      </c>
    </row>
    <row r="164" customFormat="false" ht="15" hidden="false" customHeight="false" outlineLevel="0" collapsed="false">
      <c r="A164" s="4" t="n">
        <v>43</v>
      </c>
      <c r="B164" s="24" t="n">
        <f aca="false">IF(($A163&lt;Inputs!$B$9*(1+0)),B163*(1-$E$116),B163)</f>
        <v>0.941666186265363</v>
      </c>
      <c r="C164" s="24" t="n">
        <f aca="false">IF(($A163&lt;Inputs!$B$9*(1+1)),C163*(1-$E$116),C163)+IF($A163&lt;Inputs!$B$9*1,B163*$E$116,0)</f>
        <v>0.0534572077212704</v>
      </c>
      <c r="D164" s="24" t="n">
        <f aca="false">IF(($A163&lt;Inputs!$B$9*(1+2)),D163*(1-$E$116),D163)+IF($A163&lt;Inputs!$B$9*2,C163*$E$116,0)</f>
        <v>0.00440031297035141</v>
      </c>
      <c r="E164" s="24" t="n">
        <f aca="false">IF(($A163&lt;Inputs!$B$9*(1+3)),E163*(1-$E$116),E163)+IF($A163&lt;Inputs!$B$9*3,D163*$E$116,0)</f>
        <v>0.000425521797482546</v>
      </c>
      <c r="F164" s="24" t="n">
        <f aca="false">IF(($A163&lt;Inputs!$B$9*(1+4)),F163*(1-$E$116),F163)+IF($A163&lt;Inputs!$B$9*4,E163*$E$116,0)+IF(($A163&lt;Inputs!$B$9*(1+4)),F163*$E$116,0)</f>
        <v>5.07712455331338E-005</v>
      </c>
      <c r="G164" s="24" t="n">
        <f aca="false">IF($A164&lt;Inputs!$B$9*(1+0),B164,0)+IF($A164&lt;Inputs!$B$9*(1+1),C164,0)+IF($A164&lt;Inputs!$B$9*(1+2),D164,0)+IF($A164&lt;Inputs!$B$9*(1+3),E164,0)+IF($A164&lt;Inputs!$B$9*(1+4),F164,0)</f>
        <v>5.07712455331338E-005</v>
      </c>
    </row>
    <row r="165" customFormat="false" ht="15" hidden="false" customHeight="false" outlineLevel="0" collapsed="false">
      <c r="A165" s="4" t="n">
        <v>44</v>
      </c>
      <c r="B165" s="24" t="n">
        <f aca="false">IF(($A164&lt;Inputs!$B$9*(1+0)),B164*(1-$E$116),B164)</f>
        <v>0.941666186265363</v>
      </c>
      <c r="C165" s="24" t="n">
        <f aca="false">IF(($A164&lt;Inputs!$B$9*(1+1)),C164*(1-$E$116),C164)+IF($A164&lt;Inputs!$B$9*1,B164*$E$116,0)</f>
        <v>0.0534572077212704</v>
      </c>
      <c r="D165" s="24" t="n">
        <f aca="false">IF(($A164&lt;Inputs!$B$9*(1+2)),D164*(1-$E$116),D164)+IF($A164&lt;Inputs!$B$9*2,C164*$E$116,0)</f>
        <v>0.00440031297035141</v>
      </c>
      <c r="E165" s="24" t="n">
        <f aca="false">IF(($A164&lt;Inputs!$B$9*(1+3)),E164*(1-$E$116),E164)+IF($A164&lt;Inputs!$B$9*3,D164*$E$116,0)</f>
        <v>0.000425521797482546</v>
      </c>
      <c r="F165" s="24" t="n">
        <f aca="false">IF(($A164&lt;Inputs!$B$9*(1+4)),F164*(1-$E$116),F164)+IF($A164&lt;Inputs!$B$9*4,E164*$E$116,0)+IF(($A164&lt;Inputs!$B$9*(1+4)),F164*$E$116,0)</f>
        <v>5.07712455331338E-005</v>
      </c>
      <c r="G165" s="24" t="n">
        <f aca="false">IF($A165&lt;Inputs!$B$9*(1+0),B165,0)+IF($A165&lt;Inputs!$B$9*(1+1),C165,0)+IF($A165&lt;Inputs!$B$9*(1+2),D165,0)+IF($A165&lt;Inputs!$B$9*(1+3),E165,0)+IF($A165&lt;Inputs!$B$9*(1+4),F165,0)</f>
        <v>5.07712455331338E-005</v>
      </c>
    </row>
    <row r="166" customFormat="false" ht="15" hidden="false" customHeight="false" outlineLevel="0" collapsed="false">
      <c r="A166" s="4" t="n">
        <v>45</v>
      </c>
      <c r="B166" s="24" t="n">
        <f aca="false">IF(($A165&lt;Inputs!$B$9*(1+0)),B165*(1-$E$116),B165)</f>
        <v>0.941666186265363</v>
      </c>
      <c r="C166" s="24" t="n">
        <f aca="false">IF(($A165&lt;Inputs!$B$9*(1+1)),C165*(1-$E$116),C165)+IF($A165&lt;Inputs!$B$9*1,B165*$E$116,0)</f>
        <v>0.0534572077212704</v>
      </c>
      <c r="D166" s="24" t="n">
        <f aca="false">IF(($A165&lt;Inputs!$B$9*(1+2)),D165*(1-$E$116),D165)+IF($A165&lt;Inputs!$B$9*2,C165*$E$116,0)</f>
        <v>0.00440031297035141</v>
      </c>
      <c r="E166" s="24" t="n">
        <f aca="false">IF(($A165&lt;Inputs!$B$9*(1+3)),E165*(1-$E$116),E165)+IF($A165&lt;Inputs!$B$9*3,D165*$E$116,0)</f>
        <v>0.000425521797482546</v>
      </c>
      <c r="F166" s="24" t="n">
        <f aca="false">IF(($A165&lt;Inputs!$B$9*(1+4)),F165*(1-$E$116),F165)+IF($A165&lt;Inputs!$B$9*4,E165*$E$116,0)+IF(($A165&lt;Inputs!$B$9*(1+4)),F165*$E$116,0)</f>
        <v>5.07712455331338E-005</v>
      </c>
      <c r="G166" s="24" t="n">
        <f aca="false">IF($A166&lt;Inputs!$B$9*(1+0),B166,0)+IF($A166&lt;Inputs!$B$9*(1+1),C166,0)+IF($A166&lt;Inputs!$B$9*(1+2),D166,0)+IF($A166&lt;Inputs!$B$9*(1+3),E166,0)+IF($A166&lt;Inputs!$B$9*(1+4),F166,0)</f>
        <v>5.07712455331338E-005</v>
      </c>
    </row>
    <row r="167" customFormat="false" ht="15" hidden="false" customHeight="false" outlineLevel="0" collapsed="false">
      <c r="A167" s="4" t="n">
        <v>46</v>
      </c>
      <c r="B167" s="24" t="n">
        <f aca="false">IF(($A166&lt;Inputs!$B$9*(1+0)),B166*(1-$E$116),B166)</f>
        <v>0.941666186265363</v>
      </c>
      <c r="C167" s="24" t="n">
        <f aca="false">IF(($A166&lt;Inputs!$B$9*(1+1)),C166*(1-$E$116),C166)+IF($A166&lt;Inputs!$B$9*1,B166*$E$116,0)</f>
        <v>0.0534572077212704</v>
      </c>
      <c r="D167" s="24" t="n">
        <f aca="false">IF(($A166&lt;Inputs!$B$9*(1+2)),D166*(1-$E$116),D166)+IF($A166&lt;Inputs!$B$9*2,C166*$E$116,0)</f>
        <v>0.00440031297035141</v>
      </c>
      <c r="E167" s="24" t="n">
        <f aca="false">IF(($A166&lt;Inputs!$B$9*(1+3)),E166*(1-$E$116),E166)+IF($A166&lt;Inputs!$B$9*3,D166*$E$116,0)</f>
        <v>0.000425521797482546</v>
      </c>
      <c r="F167" s="24" t="n">
        <f aca="false">IF(($A166&lt;Inputs!$B$9*(1+4)),F166*(1-$E$116),F166)+IF($A166&lt;Inputs!$B$9*4,E166*$E$116,0)+IF(($A166&lt;Inputs!$B$9*(1+4)),F166*$E$116,0)</f>
        <v>5.07712455331338E-005</v>
      </c>
      <c r="G167" s="24" t="n">
        <f aca="false">IF($A167&lt;Inputs!$B$9*(1+0),B167,0)+IF($A167&lt;Inputs!$B$9*(1+1),C167,0)+IF($A167&lt;Inputs!$B$9*(1+2),D167,0)+IF($A167&lt;Inputs!$B$9*(1+3),E167,0)+IF($A167&lt;Inputs!$B$9*(1+4),F167,0)</f>
        <v>5.07712455331338E-005</v>
      </c>
    </row>
    <row r="168" customFormat="false" ht="15" hidden="false" customHeight="false" outlineLevel="0" collapsed="false">
      <c r="A168" s="4" t="n">
        <v>47</v>
      </c>
      <c r="B168" s="24" t="n">
        <f aca="false">IF(($A167&lt;Inputs!$B$9*(1+0)),B167*(1-$E$116),B167)</f>
        <v>0.941666186265363</v>
      </c>
      <c r="C168" s="24" t="n">
        <f aca="false">IF(($A167&lt;Inputs!$B$9*(1+1)),C167*(1-$E$116),C167)+IF($A167&lt;Inputs!$B$9*1,B167*$E$116,0)</f>
        <v>0.0534572077212704</v>
      </c>
      <c r="D168" s="24" t="n">
        <f aca="false">IF(($A167&lt;Inputs!$B$9*(1+2)),D167*(1-$E$116),D167)+IF($A167&lt;Inputs!$B$9*2,C167*$E$116,0)</f>
        <v>0.00440031297035141</v>
      </c>
      <c r="E168" s="24" t="n">
        <f aca="false">IF(($A167&lt;Inputs!$B$9*(1+3)),E167*(1-$E$116),E167)+IF($A167&lt;Inputs!$B$9*3,D167*$E$116,0)</f>
        <v>0.000425521797482546</v>
      </c>
      <c r="F168" s="24" t="n">
        <f aca="false">IF(($A167&lt;Inputs!$B$9*(1+4)),F167*(1-$E$116),F167)+IF($A167&lt;Inputs!$B$9*4,E167*$E$116,0)+IF(($A167&lt;Inputs!$B$9*(1+4)),F167*$E$116,0)</f>
        <v>5.07712455331338E-005</v>
      </c>
      <c r="G168" s="24" t="n">
        <f aca="false">IF($A168&lt;Inputs!$B$9*(1+0),B168,0)+IF($A168&lt;Inputs!$B$9*(1+1),C168,0)+IF($A168&lt;Inputs!$B$9*(1+2),D168,0)+IF($A168&lt;Inputs!$B$9*(1+3),E168,0)+IF($A168&lt;Inputs!$B$9*(1+4),F168,0)</f>
        <v>5.07712455331338E-005</v>
      </c>
    </row>
    <row r="169" customFormat="false" ht="15" hidden="false" customHeight="false" outlineLevel="0" collapsed="false">
      <c r="A169" s="4" t="n">
        <v>48</v>
      </c>
      <c r="B169" s="24" t="n">
        <f aca="false">IF(($A168&lt;Inputs!$B$9*(1+0)),B168*(1-$E$116),B168)</f>
        <v>0.941666186265363</v>
      </c>
      <c r="C169" s="24" t="n">
        <f aca="false">IF(($A168&lt;Inputs!$B$9*(1+1)),C168*(1-$E$116),C168)+IF($A168&lt;Inputs!$B$9*1,B168*$E$116,0)</f>
        <v>0.0534572077212704</v>
      </c>
      <c r="D169" s="24" t="n">
        <f aca="false">IF(($A168&lt;Inputs!$B$9*(1+2)),D168*(1-$E$116),D168)+IF($A168&lt;Inputs!$B$9*2,C168*$E$116,0)</f>
        <v>0.00440031297035141</v>
      </c>
      <c r="E169" s="24" t="n">
        <f aca="false">IF(($A168&lt;Inputs!$B$9*(1+3)),E168*(1-$E$116),E168)+IF($A168&lt;Inputs!$B$9*3,D168*$E$116,0)</f>
        <v>0.000425521797482546</v>
      </c>
      <c r="F169" s="24" t="n">
        <f aca="false">IF(($A168&lt;Inputs!$B$9*(1+4)),F168*(1-$E$116),F168)+IF($A168&lt;Inputs!$B$9*4,E168*$E$116,0)+IF(($A168&lt;Inputs!$B$9*(1+4)),F168*$E$116,0)</f>
        <v>5.07712455331338E-005</v>
      </c>
      <c r="G169" s="24" t="n">
        <f aca="false">IF($A169&lt;Inputs!$B$9*(1+0),B169,0)+IF($A169&lt;Inputs!$B$9*(1+1),C169,0)+IF($A169&lt;Inputs!$B$9*(1+2),D169,0)+IF($A169&lt;Inputs!$B$9*(1+3),E169,0)+IF($A169&lt;Inputs!$B$9*(1+4),F169,0)</f>
        <v>5.07712455331338E-005</v>
      </c>
    </row>
    <row r="170" customFormat="false" ht="15" hidden="false" customHeight="false" outlineLevel="0" collapsed="false">
      <c r="A170" s="4" t="n">
        <v>49</v>
      </c>
      <c r="B170" s="24" t="n">
        <f aca="false">IF(($A169&lt;Inputs!$B$9*(1+0)),B169*(1-$E$116),B169)</f>
        <v>0.941666186265363</v>
      </c>
      <c r="C170" s="24" t="n">
        <f aca="false">IF(($A169&lt;Inputs!$B$9*(1+1)),C169*(1-$E$116),C169)+IF($A169&lt;Inputs!$B$9*1,B169*$E$116,0)</f>
        <v>0.0534572077212704</v>
      </c>
      <c r="D170" s="24" t="n">
        <f aca="false">IF(($A169&lt;Inputs!$B$9*(1+2)),D169*(1-$E$116),D169)+IF($A169&lt;Inputs!$B$9*2,C169*$E$116,0)</f>
        <v>0.00440031297035141</v>
      </c>
      <c r="E170" s="24" t="n">
        <f aca="false">IF(($A169&lt;Inputs!$B$9*(1+3)),E169*(1-$E$116),E169)+IF($A169&lt;Inputs!$B$9*3,D169*$E$116,0)</f>
        <v>0.000425521797482546</v>
      </c>
      <c r="F170" s="24" t="n">
        <f aca="false">IF(($A169&lt;Inputs!$B$9*(1+4)),F169*(1-$E$116),F169)+IF($A169&lt;Inputs!$B$9*4,E169*$E$116,0)+IF(($A169&lt;Inputs!$B$9*(1+4)),F169*$E$116,0)</f>
        <v>5.07712455331338E-005</v>
      </c>
      <c r="G170" s="24" t="n">
        <f aca="false">IF($A170&lt;Inputs!$B$9*(1+0),B170,0)+IF($A170&lt;Inputs!$B$9*(1+1),C170,0)+IF($A170&lt;Inputs!$B$9*(1+2),D170,0)+IF($A170&lt;Inputs!$B$9*(1+3),E170,0)+IF($A170&lt;Inputs!$B$9*(1+4),F170,0)</f>
        <v>5.07712455331338E-005</v>
      </c>
    </row>
    <row r="171" customFormat="false" ht="15" hidden="false" customHeight="false" outlineLevel="0" collapsed="false">
      <c r="A171" s="4" t="n">
        <v>50</v>
      </c>
      <c r="B171" s="24" t="n">
        <f aca="false">IF(($A170&lt;Inputs!$B$9*(1+0)),B170*(1-$E$116),B170)</f>
        <v>0.941666186265363</v>
      </c>
      <c r="C171" s="24" t="n">
        <f aca="false">IF(($A170&lt;Inputs!$B$9*(1+1)),C170*(1-$E$116),C170)+IF($A170&lt;Inputs!$B$9*1,B170*$E$116,0)</f>
        <v>0.0534572077212704</v>
      </c>
      <c r="D171" s="24" t="n">
        <f aca="false">IF(($A170&lt;Inputs!$B$9*(1+2)),D170*(1-$E$116),D170)+IF($A170&lt;Inputs!$B$9*2,C170*$E$116,0)</f>
        <v>0.00440031297035141</v>
      </c>
      <c r="E171" s="24" t="n">
        <f aca="false">IF(($A170&lt;Inputs!$B$9*(1+3)),E170*(1-$E$116),E170)+IF($A170&lt;Inputs!$B$9*3,D170*$E$116,0)</f>
        <v>0.000425521797482546</v>
      </c>
      <c r="F171" s="24" t="n">
        <f aca="false">IF(($A170&lt;Inputs!$B$9*(1+4)),F170*(1-$E$116),F170)+IF($A170&lt;Inputs!$B$9*4,E170*$E$116,0)+IF(($A170&lt;Inputs!$B$9*(1+4)),F170*$E$116,0)</f>
        <v>5.07712455331338E-005</v>
      </c>
    </row>
    <row r="172" customFormat="false" ht="15" hidden="false" customHeight="false" outlineLevel="0" collapsed="false">
      <c r="A172" s="17" t="s">
        <v>119</v>
      </c>
      <c r="G172" s="42" t="n">
        <f aca="false">SUM(G121:G170)</f>
        <v>10.6373748403655</v>
      </c>
    </row>
    <row r="173" customFormat="false" ht="15" hidden="false" customHeight="false" outlineLevel="0" collapsed="false">
      <c r="A173" s="4" t="s">
        <v>226</v>
      </c>
      <c r="B173" s="24" t="n">
        <f aca="false">B171</f>
        <v>0.941666186265363</v>
      </c>
      <c r="C173" s="24" t="n">
        <f aca="false">C171</f>
        <v>0.0534572077212704</v>
      </c>
      <c r="D173" s="24" t="n">
        <f aca="false">D171</f>
        <v>0.00440031297035141</v>
      </c>
      <c r="E173" s="24" t="n">
        <f aca="false">E171</f>
        <v>0.000425521797482546</v>
      </c>
      <c r="F173" s="24" t="n">
        <f aca="false">F171</f>
        <v>5.07712455331338E-005</v>
      </c>
    </row>
    <row r="174" customFormat="false" ht="15" hidden="false" customHeight="false" outlineLevel="0" collapsed="false">
      <c r="A174" s="4" t="s">
        <v>227</v>
      </c>
      <c r="B174" s="44" t="n">
        <f aca="false">SUM(B171:F171)</f>
        <v>1</v>
      </c>
    </row>
    <row r="175" customFormat="false" ht="15" hidden="false" customHeight="false" outlineLevel="0" collapsed="false">
      <c r="A175" s="2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3"/>
    <col collapsed="false" customWidth="true" hidden="false" outlineLevel="0" max="4" min="4" style="0" width="17"/>
    <col collapsed="false" customWidth="true" hidden="false" outlineLevel="0" max="13" min="5" style="0" width="13"/>
    <col collapsed="false" customWidth="true" hidden="false" outlineLevel="0" max="15" min="15" style="0" width="40"/>
    <col collapsed="false" customWidth="true" hidden="false" outlineLevel="0" max="19" min="16" style="0" width="18"/>
  </cols>
  <sheetData>
    <row r="1" customFormat="false" ht="17.35" hidden="false" customHeight="false" outlineLevel="0" collapsed="false">
      <c r="A1" s="1" t="s">
        <v>229</v>
      </c>
    </row>
    <row r="2" customFormat="false" ht="15" hidden="false" customHeight="false" outlineLevel="0" collapsed="false">
      <c r="A2" s="2" t="s">
        <v>96</v>
      </c>
    </row>
    <row r="4" customFormat="false" ht="15" hidden="false" customHeight="false" outlineLevel="0" collapsed="false">
      <c r="A4" s="20" t="s">
        <v>97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O4" s="20" t="s">
        <v>98</v>
      </c>
      <c r="P4" s="21"/>
      <c r="Q4" s="21"/>
    </row>
    <row r="5" customFormat="false" ht="15" hidden="false" customHeight="false" outlineLevel="0" collapsed="false">
      <c r="A5" s="3" t="s">
        <v>44</v>
      </c>
      <c r="B5" s="3" t="s">
        <v>99</v>
      </c>
      <c r="C5" s="3" t="s">
        <v>100</v>
      </c>
      <c r="D5" s="3" t="s">
        <v>101</v>
      </c>
      <c r="E5" s="3" t="s">
        <v>102</v>
      </c>
      <c r="F5" s="3" t="s">
        <v>103</v>
      </c>
      <c r="G5" s="3"/>
      <c r="H5" s="3" t="s">
        <v>104</v>
      </c>
      <c r="I5" s="3" t="s">
        <v>105</v>
      </c>
      <c r="J5" s="3" t="s">
        <v>106</v>
      </c>
      <c r="K5" s="3" t="s">
        <v>107</v>
      </c>
      <c r="L5" s="3" t="s">
        <v>108</v>
      </c>
      <c r="O5" s="3" t="s">
        <v>109</v>
      </c>
      <c r="P5" s="3" t="s">
        <v>110</v>
      </c>
      <c r="Q5" s="3" t="s">
        <v>111</v>
      </c>
    </row>
    <row r="6" customFormat="false" ht="15" hidden="false" customHeight="false" outlineLevel="0" collapsed="false">
      <c r="A6" s="4" t="s">
        <v>94</v>
      </c>
      <c r="B6" s="22" t="n">
        <f aca="false">COUNTIF(Strips!$H$3:$H$62,$A6)</f>
        <v>0</v>
      </c>
      <c r="C6" s="22" t="n">
        <f aca="false">COUNTIF(Strips!$I$3:$I$62,$A6)</f>
        <v>5</v>
      </c>
      <c r="D6" s="22" t="n">
        <f aca="false">COUNTIF(Strips!$J$3:$J$62,$A6)</f>
        <v>6</v>
      </c>
      <c r="E6" s="22" t="n">
        <f aca="false">COUNTIF(Strips!$K$3:$K$62,$A6)</f>
        <v>4</v>
      </c>
      <c r="F6" s="22" t="n">
        <f aca="false">COUNTIF(Strips!$L$3:$L$62,$A6)</f>
        <v>0</v>
      </c>
      <c r="H6" s="22" t="n">
        <f aca="false">COUNTIF(Strips!$T$3:$T$62,$A6)</f>
        <v>0</v>
      </c>
      <c r="I6" s="22" t="n">
        <f aca="false">COUNTIF(Strips!$U$3:$U$62,$A6)</f>
        <v>5</v>
      </c>
      <c r="J6" s="22" t="n">
        <f aca="false">COUNTIF(Strips!$V$3:$V$62,$A6)</f>
        <v>5</v>
      </c>
      <c r="K6" s="22" t="n">
        <f aca="false">COUNTIF(Strips!$W$3:$W$62,$A6)</f>
        <v>5</v>
      </c>
      <c r="L6" s="22" t="n">
        <f aca="false">COUNTIF(Strips!$X$3:$X$62,$A6)</f>
        <v>0</v>
      </c>
      <c r="O6" s="4" t="s">
        <v>112</v>
      </c>
      <c r="P6" s="23" t="n">
        <f aca="false">G54</f>
        <v>0.634409048172114</v>
      </c>
      <c r="Q6" s="6" t="n">
        <v>0.634409048172114</v>
      </c>
    </row>
    <row r="7" customFormat="false" ht="15" hidden="false" customHeight="false" outlineLevel="0" collapsed="false">
      <c r="A7" s="4" t="s">
        <v>93</v>
      </c>
      <c r="B7" s="22" t="n">
        <f aca="false">COUNTIF(Strips!$H$3:$H$62,$A7)</f>
        <v>1</v>
      </c>
      <c r="C7" s="22" t="n">
        <f aca="false">COUNTIF(Strips!$I$3:$I$62,$A7)</f>
        <v>2</v>
      </c>
      <c r="D7" s="22" t="n">
        <f aca="false">COUNTIF(Strips!$J$3:$J$62,$A7)</f>
        <v>1</v>
      </c>
      <c r="E7" s="22" t="n">
        <f aca="false">COUNTIF(Strips!$K$3:$K$62,$A7)</f>
        <v>2</v>
      </c>
      <c r="F7" s="22" t="n">
        <f aca="false">COUNTIF(Strips!$L$3:$L$62,$A7)</f>
        <v>1</v>
      </c>
      <c r="H7" s="22" t="n">
        <f aca="false">COUNTIF(Strips!$T$3:$T$62,$A7)</f>
        <v>1</v>
      </c>
      <c r="I7" s="22" t="n">
        <f aca="false">COUNTIF(Strips!$U$3:$U$62,$A7)</f>
        <v>1</v>
      </c>
      <c r="J7" s="22" t="n">
        <f aca="false">COUNTIF(Strips!$V$3:$V$62,$A7)</f>
        <v>1</v>
      </c>
      <c r="K7" s="22" t="n">
        <f aca="false">COUNTIF(Strips!$W$3:$W$62,$A7)</f>
        <v>1</v>
      </c>
      <c r="L7" s="22" t="n">
        <f aca="false">COUNTIF(Strips!$X$3:$X$62,$A7)</f>
        <v>1</v>
      </c>
      <c r="O7" s="4" t="s">
        <v>113</v>
      </c>
      <c r="P7" s="23" t="n">
        <f aca="false">$E$102</f>
        <v>0.0210160527625684</v>
      </c>
      <c r="Q7" s="6" t="n">
        <v>0.0210160527625684</v>
      </c>
    </row>
    <row r="8" customFormat="false" ht="15" hidden="false" customHeight="false" outlineLevel="0" collapsed="false">
      <c r="A8" s="4" t="s">
        <v>49</v>
      </c>
      <c r="B8" s="22" t="n">
        <f aca="false">COUNTIF(Strips!$H$3:$H$62,$A8)</f>
        <v>1</v>
      </c>
      <c r="C8" s="22" t="n">
        <f aca="false">COUNTIF(Strips!$I$3:$I$62,$A8)</f>
        <v>1</v>
      </c>
      <c r="D8" s="22" t="n">
        <f aca="false">COUNTIF(Strips!$J$3:$J$62,$A8)</f>
        <v>1</v>
      </c>
      <c r="E8" s="22" t="n">
        <f aca="false">COUNTIF(Strips!$K$3:$K$62,$A8)</f>
        <v>2</v>
      </c>
      <c r="F8" s="22" t="n">
        <f aca="false">COUNTIF(Strips!$L$3:$L$62,$A8)</f>
        <v>1</v>
      </c>
      <c r="H8" s="22" t="n">
        <f aca="false">COUNTIF(Strips!$T$3:$T$62,$A8)</f>
        <v>2</v>
      </c>
      <c r="I8" s="22" t="n">
        <f aca="false">COUNTIF(Strips!$U$3:$U$62,$A8)</f>
        <v>2</v>
      </c>
      <c r="J8" s="22" t="n">
        <f aca="false">COUNTIF(Strips!$V$3:$V$62,$A8)</f>
        <v>2</v>
      </c>
      <c r="K8" s="22" t="n">
        <f aca="false">COUNTIF(Strips!$W$3:$W$62,$A8)</f>
        <v>2</v>
      </c>
      <c r="L8" s="22" t="n">
        <f aca="false">COUNTIF(Strips!$X$3:$X$62,$A8)</f>
        <v>2</v>
      </c>
      <c r="O8" s="4" t="s">
        <v>9</v>
      </c>
      <c r="P8" s="23" t="n">
        <f aca="false">P6+P7</f>
        <v>0.655425100934683</v>
      </c>
    </row>
    <row r="9" customFormat="false" ht="15" hidden="false" customHeight="false" outlineLevel="0" collapsed="false">
      <c r="A9" s="4" t="s">
        <v>50</v>
      </c>
      <c r="B9" s="22" t="n">
        <f aca="false">COUNTIF(Strips!$H$3:$H$62,$A9)</f>
        <v>2</v>
      </c>
      <c r="C9" s="22" t="n">
        <f aca="false">COUNTIF(Strips!$I$3:$I$62,$A9)</f>
        <v>2</v>
      </c>
      <c r="D9" s="22" t="n">
        <f aca="false">COUNTIF(Strips!$J$3:$J$62,$A9)</f>
        <v>2</v>
      </c>
      <c r="E9" s="22" t="n">
        <f aca="false">COUNTIF(Strips!$K$3:$K$62,$A9)</f>
        <v>2</v>
      </c>
      <c r="F9" s="22" t="n">
        <f aca="false">COUNTIF(Strips!$L$3:$L$62,$A9)</f>
        <v>2</v>
      </c>
      <c r="H9" s="22" t="n">
        <f aca="false">COUNTIF(Strips!$T$3:$T$62,$A9)</f>
        <v>2</v>
      </c>
      <c r="I9" s="22" t="n">
        <f aca="false">COUNTIF(Strips!$U$3:$U$62,$A9)</f>
        <v>2</v>
      </c>
      <c r="J9" s="22" t="n">
        <f aca="false">COUNTIF(Strips!$V$3:$V$62,$A9)</f>
        <v>2</v>
      </c>
      <c r="K9" s="22" t="n">
        <f aca="false">COUNTIF(Strips!$W$3:$W$62,$A9)</f>
        <v>2</v>
      </c>
      <c r="L9" s="22" t="n">
        <f aca="false">COUNTIF(Strips!$X$3:$X$62,$A9)</f>
        <v>2</v>
      </c>
      <c r="O9" s="4" t="s">
        <v>114</v>
      </c>
      <c r="P9" s="24" t="n">
        <f aca="false">$E$103</f>
        <v>0.00843330014932803</v>
      </c>
      <c r="Q9" s="25" t="n">
        <v>0.00843330014932802</v>
      </c>
    </row>
    <row r="10" customFormat="false" ht="15" hidden="false" customHeight="false" outlineLevel="0" collapsed="false">
      <c r="A10" s="4" t="s">
        <v>51</v>
      </c>
      <c r="B10" s="22" t="n">
        <f aca="false">COUNTIF(Strips!$H$3:$H$62,$A10)</f>
        <v>2</v>
      </c>
      <c r="C10" s="22" t="n">
        <f aca="false">COUNTIF(Strips!$I$3:$I$62,$A10)</f>
        <v>2</v>
      </c>
      <c r="D10" s="22" t="n">
        <f aca="false">COUNTIF(Strips!$J$3:$J$62,$A10)</f>
        <v>2</v>
      </c>
      <c r="E10" s="22" t="n">
        <f aca="false">COUNTIF(Strips!$K$3:$K$62,$A10)</f>
        <v>2</v>
      </c>
      <c r="F10" s="22" t="n">
        <f aca="false">COUNTIF(Strips!$L$3:$L$62,$A10)</f>
        <v>2</v>
      </c>
      <c r="H10" s="22" t="n">
        <f aca="false">COUNTIF(Strips!$T$3:$T$62,$A10)</f>
        <v>3</v>
      </c>
      <c r="I10" s="22" t="n">
        <f aca="false">COUNTIF(Strips!$U$3:$U$62,$A10)</f>
        <v>2</v>
      </c>
      <c r="J10" s="22" t="n">
        <f aca="false">COUNTIF(Strips!$V$3:$V$62,$A10)</f>
        <v>2</v>
      </c>
      <c r="K10" s="22" t="n">
        <f aca="false">COUNTIF(Strips!$W$3:$W$62,$A10)</f>
        <v>2</v>
      </c>
      <c r="L10" s="22" t="n">
        <f aca="false">COUNTIF(Strips!$X$3:$X$62,$A10)</f>
        <v>3</v>
      </c>
      <c r="O10" s="4" t="s">
        <v>115</v>
      </c>
      <c r="P10" s="23" t="n">
        <f aca="false">G90</f>
        <v>1.04272168781786</v>
      </c>
      <c r="Q10" s="6" t="n">
        <v>1.04272168781786</v>
      </c>
    </row>
    <row r="11" customFormat="false" ht="15" hidden="false" customHeight="false" outlineLevel="0" collapsed="false">
      <c r="A11" s="4" t="s">
        <v>52</v>
      </c>
      <c r="B11" s="22" t="n">
        <f aca="false">COUNTIF(Strips!$H$3:$H$62,$A11)</f>
        <v>3</v>
      </c>
      <c r="C11" s="22" t="n">
        <f aca="false">COUNTIF(Strips!$I$3:$I$62,$A11)</f>
        <v>3</v>
      </c>
      <c r="D11" s="22" t="n">
        <f aca="false">COUNTIF(Strips!$J$3:$J$62,$A11)</f>
        <v>3</v>
      </c>
      <c r="E11" s="22" t="n">
        <f aca="false">COUNTIF(Strips!$K$3:$K$62,$A11)</f>
        <v>3</v>
      </c>
      <c r="F11" s="22" t="n">
        <f aca="false">COUNTIF(Strips!$L$3:$L$62,$A11)</f>
        <v>3</v>
      </c>
      <c r="H11" s="22" t="n">
        <f aca="false">COUNTIF(Strips!$T$3:$T$62,$A11)</f>
        <v>3</v>
      </c>
      <c r="I11" s="22" t="n">
        <f aca="false">COUNTIF(Strips!$U$3:$U$62,$A11)</f>
        <v>3</v>
      </c>
      <c r="J11" s="22" t="n">
        <f aca="false">COUNTIF(Strips!$V$3:$V$62,$A11)</f>
        <v>3</v>
      </c>
      <c r="K11" s="22" t="n">
        <f aca="false">COUNTIF(Strips!$W$3:$W$62,$A11)</f>
        <v>3</v>
      </c>
      <c r="L11" s="22" t="n">
        <f aca="false">COUNTIF(Strips!$X$3:$X$62,$A11)</f>
        <v>3</v>
      </c>
      <c r="O11" s="4" t="s">
        <v>116</v>
      </c>
      <c r="P11" s="23" t="n">
        <f aca="false">$E$115</f>
        <v>0.0147195721118394</v>
      </c>
      <c r="Q11" s="6" t="n">
        <v>0.0147195721118394</v>
      </c>
    </row>
    <row r="12" customFormat="false" ht="15" hidden="false" customHeight="false" outlineLevel="0" collapsed="false">
      <c r="A12" s="4" t="s">
        <v>53</v>
      </c>
      <c r="B12" s="22" t="n">
        <f aca="false">COUNTIF(Strips!$H$3:$H$62,$A12)</f>
        <v>3</v>
      </c>
      <c r="C12" s="22" t="n">
        <f aca="false">COUNTIF(Strips!$I$3:$I$62,$A12)</f>
        <v>3</v>
      </c>
      <c r="D12" s="22" t="n">
        <f aca="false">COUNTIF(Strips!$J$3:$J$62,$A12)</f>
        <v>3</v>
      </c>
      <c r="E12" s="22" t="n">
        <f aca="false">COUNTIF(Strips!$K$3:$K$62,$A12)</f>
        <v>3</v>
      </c>
      <c r="F12" s="22" t="n">
        <f aca="false">COUNTIF(Strips!$L$3:$L$62,$A12)</f>
        <v>3</v>
      </c>
      <c r="H12" s="22" t="n">
        <f aca="false">COUNTIF(Strips!$T$3:$T$62,$A12)</f>
        <v>3</v>
      </c>
      <c r="I12" s="22" t="n">
        <f aca="false">COUNTIF(Strips!$U$3:$U$62,$A12)</f>
        <v>3</v>
      </c>
      <c r="J12" s="22" t="n">
        <f aca="false">COUNTIF(Strips!$V$3:$V$62,$A12)</f>
        <v>3</v>
      </c>
      <c r="K12" s="22" t="n">
        <f aca="false">COUNTIF(Strips!$W$3:$W$62,$A12)</f>
        <v>3</v>
      </c>
      <c r="L12" s="22" t="n">
        <f aca="false">COUNTIF(Strips!$X$3:$X$62,$A12)</f>
        <v>3</v>
      </c>
      <c r="O12" s="4" t="s">
        <v>117</v>
      </c>
      <c r="P12" s="24" t="n">
        <f aca="false">$E$116</f>
        <v>0.00599241684197775</v>
      </c>
      <c r="Q12" s="25" t="n">
        <v>0.00599241684197775</v>
      </c>
    </row>
    <row r="13" customFormat="false" ht="15" hidden="false" customHeight="false" outlineLevel="0" collapsed="false">
      <c r="A13" s="4" t="s">
        <v>54</v>
      </c>
      <c r="B13" s="22" t="n">
        <f aca="false">COUNTIF(Strips!$H$3:$H$62,$A13)</f>
        <v>4</v>
      </c>
      <c r="C13" s="22" t="n">
        <f aca="false">COUNTIF(Strips!$I$3:$I$62,$A13)</f>
        <v>4</v>
      </c>
      <c r="D13" s="22" t="n">
        <f aca="false">COUNTIF(Strips!$J$3:$J$62,$A13)</f>
        <v>4</v>
      </c>
      <c r="E13" s="22" t="n">
        <f aca="false">COUNTIF(Strips!$K$3:$K$62,$A13)</f>
        <v>4</v>
      </c>
      <c r="F13" s="22" t="n">
        <f aca="false">COUNTIF(Strips!$L$3:$L$62,$A13)</f>
        <v>4</v>
      </c>
      <c r="H13" s="22" t="n">
        <f aca="false">COUNTIF(Strips!$T$3:$T$62,$A13)</f>
        <v>3</v>
      </c>
      <c r="I13" s="22" t="n">
        <f aca="false">COUNTIF(Strips!$U$3:$U$62,$A13)</f>
        <v>3</v>
      </c>
      <c r="J13" s="22" t="n">
        <f aca="false">COUNTIF(Strips!$V$3:$V$62,$A13)</f>
        <v>3</v>
      </c>
      <c r="K13" s="22" t="n">
        <f aca="false">COUNTIF(Strips!$W$3:$W$62,$A13)</f>
        <v>3</v>
      </c>
      <c r="L13" s="22" t="n">
        <f aca="false">COUNTIF(Strips!$X$3:$X$62,$A13)</f>
        <v>3</v>
      </c>
      <c r="O13" s="4" t="s">
        <v>118</v>
      </c>
      <c r="P13" s="26" t="n">
        <f aca="false">Inputs!$B$10</f>
        <v>3</v>
      </c>
    </row>
    <row r="14" customFormat="false" ht="15" hidden="false" customHeight="false" outlineLevel="0" collapsed="false">
      <c r="A14" s="4" t="s">
        <v>55</v>
      </c>
      <c r="B14" s="22" t="n">
        <f aca="false">COUNTIF(Strips!$H$3:$H$62,$A14)</f>
        <v>5</v>
      </c>
      <c r="C14" s="22" t="n">
        <f aca="false">COUNTIF(Strips!$I$3:$I$62,$A14)</f>
        <v>4</v>
      </c>
      <c r="D14" s="22" t="n">
        <f aca="false">COUNTIF(Strips!$J$3:$J$62,$A14)</f>
        <v>4</v>
      </c>
      <c r="E14" s="22" t="n">
        <f aca="false">COUNTIF(Strips!$K$3:$K$62,$A14)</f>
        <v>4</v>
      </c>
      <c r="F14" s="22" t="n">
        <f aca="false">COUNTIF(Strips!$L$3:$L$62,$A14)</f>
        <v>5</v>
      </c>
      <c r="H14" s="22" t="n">
        <f aca="false">COUNTIF(Strips!$T$3:$T$62,$A14)</f>
        <v>4</v>
      </c>
      <c r="I14" s="22" t="n">
        <f aca="false">COUNTIF(Strips!$U$3:$U$62,$A14)</f>
        <v>3</v>
      </c>
      <c r="J14" s="22" t="n">
        <f aca="false">COUNTIF(Strips!$V$3:$V$62,$A14)</f>
        <v>3</v>
      </c>
      <c r="K14" s="22" t="n">
        <f aca="false">COUNTIF(Strips!$W$3:$W$62,$A14)</f>
        <v>3</v>
      </c>
      <c r="L14" s="22" t="n">
        <f aca="false">COUNTIF(Strips!$X$3:$X$62,$A14)</f>
        <v>4</v>
      </c>
      <c r="O14" s="4" t="s">
        <v>119</v>
      </c>
      <c r="P14" s="24" t="n">
        <f aca="false">$G$172</f>
        <v>10.6373748403655</v>
      </c>
      <c r="Q14" s="25" t="n">
        <v>10.6373748403656</v>
      </c>
    </row>
    <row r="15" customFormat="false" ht="15" hidden="false" customHeight="false" outlineLevel="0" collapsed="false">
      <c r="A15" s="4" t="s">
        <v>56</v>
      </c>
      <c r="B15" s="22" t="n">
        <f aca="false">COUNTIF(Strips!$H$3:$H$62,$A15)</f>
        <v>6</v>
      </c>
      <c r="C15" s="22" t="n">
        <f aca="false">COUNTIF(Strips!$I$3:$I$62,$A15)</f>
        <v>5</v>
      </c>
      <c r="D15" s="22" t="n">
        <f aca="false">COUNTIF(Strips!$J$3:$J$62,$A15)</f>
        <v>5</v>
      </c>
      <c r="E15" s="22" t="n">
        <f aca="false">COUNTIF(Strips!$K$3:$K$62,$A15)</f>
        <v>5</v>
      </c>
      <c r="F15" s="22" t="n">
        <f aca="false">COUNTIF(Strips!$L$3:$L$62,$A15)</f>
        <v>6</v>
      </c>
      <c r="H15" s="22" t="n">
        <f aca="false">COUNTIF(Strips!$T$3:$T$62,$A15)</f>
        <v>4</v>
      </c>
      <c r="I15" s="22" t="n">
        <f aca="false">COUNTIF(Strips!$U$3:$U$62,$A15)</f>
        <v>3</v>
      </c>
      <c r="J15" s="22" t="n">
        <f aca="false">COUNTIF(Strips!$V$3:$V$62,$A15)</f>
        <v>3</v>
      </c>
      <c r="K15" s="22" t="n">
        <f aca="false">COUNTIF(Strips!$W$3:$W$62,$A15)</f>
        <v>3</v>
      </c>
      <c r="L15" s="22" t="n">
        <f aca="false">COUNTIF(Strips!$X$3:$X$62,$A15)</f>
        <v>4</v>
      </c>
      <c r="O15" s="4" t="s">
        <v>120</v>
      </c>
      <c r="P15" s="27" t="n">
        <f aca="false">P14*P13*(P10+P11)</f>
        <v>33.7451971606218</v>
      </c>
      <c r="Q15" s="28" t="n">
        <v>33.7451971606218</v>
      </c>
    </row>
    <row r="16" customFormat="false" ht="15" hidden="false" customHeight="false" outlineLevel="0" collapsed="false">
      <c r="A16" s="4" t="s">
        <v>57</v>
      </c>
      <c r="B16" s="22" t="n">
        <f aca="false">COUNTIF(Strips!$H$3:$H$62,$A16)</f>
        <v>6</v>
      </c>
      <c r="C16" s="22" t="n">
        <f aca="false">COUNTIF(Strips!$I$3:$I$62,$A16)</f>
        <v>5</v>
      </c>
      <c r="D16" s="22" t="n">
        <f aca="false">COUNTIF(Strips!$J$3:$J$62,$A16)</f>
        <v>5</v>
      </c>
      <c r="E16" s="22" t="n">
        <f aca="false">COUNTIF(Strips!$K$3:$K$62,$A16)</f>
        <v>5</v>
      </c>
      <c r="F16" s="22" t="n">
        <f aca="false">COUNTIF(Strips!$L$3:$L$62,$A16)</f>
        <v>6</v>
      </c>
      <c r="H16" s="22" t="n">
        <f aca="false">COUNTIF(Strips!$T$3:$T$62,$A16)</f>
        <v>4</v>
      </c>
      <c r="I16" s="22" t="n">
        <f aca="false">COUNTIF(Strips!$U$3:$U$62,$A16)</f>
        <v>3</v>
      </c>
      <c r="J16" s="22" t="n">
        <f aca="false">COUNTIF(Strips!$V$3:$V$62,$A16)</f>
        <v>3</v>
      </c>
      <c r="K16" s="22" t="n">
        <f aca="false">COUNTIF(Strips!$W$3:$W$62,$A16)</f>
        <v>3</v>
      </c>
      <c r="L16" s="22" t="n">
        <f aca="false">COUNTIF(Strips!$X$3:$X$62,$A16)</f>
        <v>4</v>
      </c>
      <c r="O16" s="4" t="s">
        <v>10</v>
      </c>
      <c r="P16" s="23" t="n">
        <f aca="false">P9*P15</f>
        <v>0.284583376253775</v>
      </c>
      <c r="Q16" s="6" t="n">
        <v>0.284583376253776</v>
      </c>
    </row>
    <row r="17" customFormat="false" ht="15" hidden="false" customHeight="false" outlineLevel="0" collapsed="false">
      <c r="A17" s="4" t="s">
        <v>58</v>
      </c>
      <c r="B17" s="22" t="n">
        <f aca="false">COUNTIF(Strips!$H$3:$H$62,$A17)</f>
        <v>7</v>
      </c>
      <c r="C17" s="22" t="n">
        <f aca="false">COUNTIF(Strips!$I$3:$I$62,$A17)</f>
        <v>6</v>
      </c>
      <c r="D17" s="22" t="n">
        <f aca="false">COUNTIF(Strips!$J$3:$J$62,$A17)</f>
        <v>6</v>
      </c>
      <c r="E17" s="22" t="n">
        <f aca="false">COUNTIF(Strips!$K$3:$K$62,$A17)</f>
        <v>5</v>
      </c>
      <c r="F17" s="22" t="n">
        <f aca="false">COUNTIF(Strips!$L$3:$L$62,$A17)</f>
        <v>7</v>
      </c>
      <c r="H17" s="22" t="n">
        <f aca="false">COUNTIF(Strips!$T$3:$T$62,$A17)</f>
        <v>5</v>
      </c>
      <c r="I17" s="22" t="n">
        <f aca="false">COUNTIF(Strips!$U$3:$U$62,$A17)</f>
        <v>4</v>
      </c>
      <c r="J17" s="22" t="n">
        <f aca="false">COUNTIF(Strips!$V$3:$V$62,$A17)</f>
        <v>4</v>
      </c>
      <c r="K17" s="22" t="n">
        <f aca="false">COUNTIF(Strips!$W$3:$W$62,$A17)</f>
        <v>4</v>
      </c>
      <c r="L17" s="22" t="n">
        <f aca="false">COUNTIF(Strips!$X$3:$X$62,$A17)</f>
        <v>5</v>
      </c>
      <c r="O17" s="4" t="s">
        <v>121</v>
      </c>
      <c r="P17" s="29" t="n">
        <f aca="false">P8+P16</f>
        <v>0.940008477188458</v>
      </c>
      <c r="Q17" s="6" t="n">
        <v>0.940008477188458</v>
      </c>
    </row>
    <row r="18" customFormat="false" ht="15" hidden="false" customHeight="false" outlineLevel="0" collapsed="false">
      <c r="A18" s="17" t="s">
        <v>122</v>
      </c>
      <c r="B18" s="22" t="n">
        <f aca="false">SUM(B6:B17)</f>
        <v>40</v>
      </c>
      <c r="C18" s="22" t="n">
        <f aca="false">SUM(C6:C17)</f>
        <v>42</v>
      </c>
      <c r="D18" s="22" t="n">
        <f aca="false">SUM(D6:D17)</f>
        <v>42</v>
      </c>
      <c r="E18" s="22" t="n">
        <f aca="false">SUM(E6:E17)</f>
        <v>41</v>
      </c>
      <c r="F18" s="22" t="n">
        <f aca="false">SUM(F6:F17)</f>
        <v>40</v>
      </c>
      <c r="H18" s="22" t="n">
        <f aca="false">SUM(H6:H17)</f>
        <v>34</v>
      </c>
      <c r="I18" s="22" t="n">
        <f aca="false">SUM(I6:I17)</f>
        <v>34</v>
      </c>
      <c r="J18" s="22" t="n">
        <f aca="false">SUM(J6:J17)</f>
        <v>34</v>
      </c>
      <c r="K18" s="22" t="n">
        <f aca="false">SUM(K6:K17)</f>
        <v>34</v>
      </c>
      <c r="L18" s="22" t="n">
        <f aca="false">SUM(L6:L17)</f>
        <v>34</v>
      </c>
      <c r="O18" s="17" t="s">
        <v>123</v>
      </c>
      <c r="P18" s="30" t="n">
        <f aca="false">P17-Q17</f>
        <v>0</v>
      </c>
    </row>
    <row r="19" customFormat="false" ht="15" hidden="false" customHeight="false" outlineLevel="0" collapsed="false">
      <c r="A19" s="17" t="s">
        <v>124</v>
      </c>
      <c r="B19" s="22" t="n">
        <f aca="false">PRODUCT(B18:F18)</f>
        <v>115718400</v>
      </c>
      <c r="H19" s="22" t="n">
        <f aca="false">PRODUCT(H18:L18)</f>
        <v>45435424</v>
      </c>
      <c r="O19" s="4" t="s">
        <v>125</v>
      </c>
      <c r="P19" s="31" t="n">
        <v>-6.04920023802509E-044</v>
      </c>
    </row>
    <row r="20" customFormat="false" ht="15" hidden="false" customHeight="false" outlineLevel="0" collapsed="false">
      <c r="O20" s="17" t="s">
        <v>126</v>
      </c>
      <c r="P20" s="32" t="n">
        <f aca="false">P17+P19</f>
        <v>0.940008477188458</v>
      </c>
      <c r="Q20" s="6" t="n">
        <v>0.940008477188458</v>
      </c>
    </row>
    <row r="21" customFormat="false" ht="15" hidden="false" customHeight="false" outlineLevel="0" collapsed="false">
      <c r="A21" s="20" t="s">
        <v>127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O21" s="4" t="s">
        <v>128</v>
      </c>
      <c r="P21" s="33" t="n">
        <f aca="false">1-P20</f>
        <v>0.0599915228115419</v>
      </c>
    </row>
    <row r="22" customFormat="false" ht="23.85" hidden="false" customHeight="false" outlineLevel="0" collapsed="false">
      <c r="A22" s="3" t="s">
        <v>44</v>
      </c>
      <c r="B22" s="3" t="s">
        <v>129</v>
      </c>
      <c r="C22" s="3" t="s">
        <v>130</v>
      </c>
      <c r="D22" s="3" t="s">
        <v>131</v>
      </c>
      <c r="E22" s="3" t="s">
        <v>132</v>
      </c>
      <c r="F22" s="3" t="s">
        <v>133</v>
      </c>
      <c r="G22" s="3" t="s">
        <v>134</v>
      </c>
    </row>
    <row r="23" customFormat="false" ht="15" hidden="false" customHeight="false" outlineLevel="0" collapsed="false">
      <c r="A23" s="4" t="s">
        <v>49</v>
      </c>
      <c r="B23" s="4" t="n">
        <v>2</v>
      </c>
      <c r="C23" s="34" t="n">
        <f aca="false">INDEX(Inputs!$B$16:$E$16,1,1)</f>
        <v>2</v>
      </c>
      <c r="D23" s="22" t="n">
        <f aca="false">$B$8*($C$8+$C$6)*($D$18-($D$8+$D$6))*$E$18*$F$18</f>
        <v>344400</v>
      </c>
      <c r="E23" s="24" t="n">
        <f aca="false">D23/$B$19</f>
        <v>0.00297619047619048</v>
      </c>
      <c r="F23" s="35" t="n">
        <f aca="false">IF(E23&gt;0,1/E23,"-")</f>
        <v>336</v>
      </c>
      <c r="G23" s="23" t="n">
        <f aca="false">C23*E23</f>
        <v>0.00595238095238095</v>
      </c>
    </row>
    <row r="24" customFormat="false" ht="15" hidden="false" customHeight="false" outlineLevel="0" collapsed="false">
      <c r="A24" s="4" t="s">
        <v>49</v>
      </c>
      <c r="B24" s="4" t="n">
        <v>3</v>
      </c>
      <c r="C24" s="34" t="n">
        <f aca="false">INDEX(Inputs!$B$16:$E$16,1,2)</f>
        <v>50</v>
      </c>
      <c r="D24" s="22" t="n">
        <f aca="false">$B$8*($C$8+$C$6)*($D$8+$D$6)*($E$18-($E$8+$E$6))*$F$18</f>
        <v>58800</v>
      </c>
      <c r="E24" s="24" t="n">
        <f aca="false">D24/$B$19</f>
        <v>0.000508130081300813</v>
      </c>
      <c r="F24" s="35" t="n">
        <f aca="false">IF(E24&gt;0,1/E24,"-")</f>
        <v>1968</v>
      </c>
      <c r="G24" s="23" t="n">
        <f aca="false">C24*E24</f>
        <v>0.0254065040650407</v>
      </c>
      <c r="O24" s="20" t="s">
        <v>135</v>
      </c>
      <c r="P24" s="21"/>
      <c r="Q24" s="21"/>
      <c r="R24" s="21"/>
      <c r="S24" s="21"/>
    </row>
    <row r="25" customFormat="false" ht="15" hidden="false" customHeight="false" outlineLevel="0" collapsed="false">
      <c r="A25" s="4" t="s">
        <v>49</v>
      </c>
      <c r="B25" s="4" t="n">
        <v>4</v>
      </c>
      <c r="C25" s="34" t="n">
        <f aca="false">INDEX(Inputs!$B$16:$E$16,1,3)</f>
        <v>250</v>
      </c>
      <c r="D25" s="22" t="n">
        <f aca="false">$B$8*($C$8+$C$6)*($D$8+$D$6)*($E$8+$E$6)*($F$18-($F$8+$F$6))</f>
        <v>9828</v>
      </c>
      <c r="E25" s="24" t="n">
        <f aca="false">D25/$B$19</f>
        <v>8.49303135888502E-005</v>
      </c>
      <c r="F25" s="35" t="n">
        <f aca="false">IF(E25&gt;0,1/E25,"-")</f>
        <v>11774.358974359</v>
      </c>
      <c r="G25" s="23" t="n">
        <f aca="false">C25*E25</f>
        <v>0.0212325783972125</v>
      </c>
      <c r="O25" s="3" t="s">
        <v>136</v>
      </c>
      <c r="P25" s="3" t="s">
        <v>137</v>
      </c>
      <c r="Q25" s="3" t="s">
        <v>138</v>
      </c>
      <c r="R25" s="3" t="s">
        <v>139</v>
      </c>
      <c r="S25" s="3" t="s">
        <v>140</v>
      </c>
    </row>
    <row r="26" customFormat="false" ht="15" hidden="false" customHeight="false" outlineLevel="0" collapsed="false">
      <c r="A26" s="4" t="s">
        <v>49</v>
      </c>
      <c r="B26" s="4" t="n">
        <v>5</v>
      </c>
      <c r="C26" s="34" t="n">
        <f aca="false">INDEX(Inputs!$B$16:$E$16,1,4)</f>
        <v>1000</v>
      </c>
      <c r="D26" s="22" t="n">
        <f aca="false">$B$8*($C$8+$C$6)*($D$8+$D$6)*($E$8+$E$6)*($F$8+$F$6)</f>
        <v>252</v>
      </c>
      <c r="E26" s="24" t="n">
        <f aca="false">D26/$B$19</f>
        <v>2.17770034843206E-006</v>
      </c>
      <c r="F26" s="35" t="n">
        <f aca="false">IF(E26&gt;0,1/E26,"-")</f>
        <v>459200</v>
      </c>
      <c r="G26" s="23" t="n">
        <f aca="false">C26*E26</f>
        <v>0.00217770034843206</v>
      </c>
      <c r="O26" s="4" t="s">
        <v>141</v>
      </c>
      <c r="P26" s="23" t="n">
        <f aca="false">SUMIF($A$23:$A$53,"SEVEN",$G$23:$G$53)</f>
        <v>0.0547691637630662</v>
      </c>
      <c r="Q26" s="23" t="n">
        <f aca="false">P9*P14*P13*SUMIF($A$59:$A$89,"SEVEN",$G$59:$G$89)</f>
        <v>0.0724537705312593</v>
      </c>
      <c r="R26" s="23" t="n">
        <f aca="false">P26+Q26</f>
        <v>0.127222934294326</v>
      </c>
      <c r="S26" s="36" t="n">
        <f aca="false">R26/P20</f>
        <v>0.135342326565869</v>
      </c>
    </row>
    <row r="27" customFormat="false" ht="15" hidden="false" customHeight="false" outlineLevel="0" collapsed="false">
      <c r="A27" s="4" t="s">
        <v>50</v>
      </c>
      <c r="B27" s="4" t="n">
        <v>3</v>
      </c>
      <c r="C27" s="34" t="n">
        <f aca="false">INDEX(Inputs!$B$17:$E$17,1,2)</f>
        <v>30</v>
      </c>
      <c r="D27" s="22" t="n">
        <f aca="false">$B$9*($C$9+$C$6)*($D$9+$D$6)*($E$18-($E$9+$E$6))*$F$18</f>
        <v>156800</v>
      </c>
      <c r="E27" s="24" t="n">
        <f aca="false">D27/$B$19</f>
        <v>0.0013550135501355</v>
      </c>
      <c r="F27" s="35" t="n">
        <f aca="false">IF(E27&gt;0,1/E27,"-")</f>
        <v>738</v>
      </c>
      <c r="G27" s="23" t="n">
        <f aca="false">C27*E27</f>
        <v>0.040650406504065</v>
      </c>
      <c r="O27" s="4" t="s">
        <v>142</v>
      </c>
      <c r="P27" s="23" t="n">
        <f aca="false">SUMIF($A$23:$A$53,"BAR",$G$23:$G$53)</f>
        <v>0.072938443670151</v>
      </c>
      <c r="Q27" s="23" t="n">
        <f aca="false">P9*P14*P13*SUMIF($A$59:$A$89,"BAR",$G$59:$G$89)</f>
        <v>0.0356528767691052</v>
      </c>
      <c r="R27" s="23" t="n">
        <f aca="false">P27+Q27</f>
        <v>0.108591320439256</v>
      </c>
      <c r="S27" s="36" t="n">
        <f aca="false">R27/P20</f>
        <v>0.11552163951122</v>
      </c>
    </row>
    <row r="28" customFormat="false" ht="15" hidden="false" customHeight="false" outlineLevel="0" collapsed="false">
      <c r="A28" s="4" t="s">
        <v>50</v>
      </c>
      <c r="B28" s="4" t="n">
        <v>4</v>
      </c>
      <c r="C28" s="34" t="n">
        <f aca="false">INDEX(Inputs!$B$17:$E$17,1,3)</f>
        <v>120</v>
      </c>
      <c r="D28" s="22" t="n">
        <f aca="false">$B$9*($C$9+$C$6)*($D$9+$D$6)*($E$9+$E$6)*($F$18-($F$9+$F$6))</f>
        <v>25536</v>
      </c>
      <c r="E28" s="24" t="n">
        <f aca="false">D28/$B$19</f>
        <v>0.000220673635307782</v>
      </c>
      <c r="F28" s="35" t="n">
        <f aca="false">IF(E28&gt;0,1/E28,"-")</f>
        <v>4531.57894736842</v>
      </c>
      <c r="G28" s="23" t="n">
        <f aca="false">C28*E28</f>
        <v>0.0264808362369338</v>
      </c>
      <c r="O28" s="4" t="s">
        <v>143</v>
      </c>
      <c r="P28" s="23" t="n">
        <f aca="false">SUMIF($A$23:$A$53,"BELL",$G$23:$G$53)</f>
        <v>0.0482384823848239</v>
      </c>
      <c r="Q28" s="23" t="n">
        <f aca="false">P9*P14*P13*SUMIF($A$59:$A$89,"BELL",$G$59:$G$89)</f>
        <v>0.0365874441998811</v>
      </c>
      <c r="R28" s="23" t="n">
        <f aca="false">P28+Q28</f>
        <v>0.084825926584705</v>
      </c>
      <c r="S28" s="36" t="n">
        <f aca="false">R28/P20</f>
        <v>0.0902395336246511</v>
      </c>
    </row>
    <row r="29" customFormat="false" ht="15" hidden="false" customHeight="false" outlineLevel="0" collapsed="false">
      <c r="A29" s="4" t="s">
        <v>50</v>
      </c>
      <c r="B29" s="4" t="n">
        <v>5</v>
      </c>
      <c r="C29" s="34" t="n">
        <f aca="false">INDEX(Inputs!$B$17:$E$17,1,4)</f>
        <v>500</v>
      </c>
      <c r="D29" s="22" t="n">
        <f aca="false">$B$9*($C$9+$C$6)*($D$9+$D$6)*($E$9+$E$6)*($F$9+$F$6)</f>
        <v>1344</v>
      </c>
      <c r="E29" s="24" t="n">
        <f aca="false">D29/$B$19</f>
        <v>1.16144018583043E-005</v>
      </c>
      <c r="F29" s="35" t="n">
        <f aca="false">IF(E29&gt;0,1/E29,"-")</f>
        <v>86100</v>
      </c>
      <c r="G29" s="23" t="n">
        <f aca="false">C29*E29</f>
        <v>0.00580720092915215</v>
      </c>
      <c r="O29" s="4" t="s">
        <v>144</v>
      </c>
      <c r="P29" s="23" t="n">
        <f aca="false">SUMIF($A$23:$A$53,"MELON",$G$23:$G$53)</f>
        <v>0.0681309109009458</v>
      </c>
      <c r="Q29" s="23" t="n">
        <f aca="false">P9*P14*P13*SUMIF($A$59:$A$89,"MELON",$G$59:$G$89)</f>
        <v>0.0332762394517991</v>
      </c>
      <c r="R29" s="23" t="n">
        <f aca="false">P29+Q29</f>
        <v>0.101407150352745</v>
      </c>
      <c r="S29" s="36" t="n">
        <f aca="false">R29/P20</f>
        <v>0.107878974300371</v>
      </c>
    </row>
    <row r="30" customFormat="false" ht="15" hidden="false" customHeight="false" outlineLevel="0" collapsed="false">
      <c r="A30" s="4" t="s">
        <v>51</v>
      </c>
      <c r="B30" s="4" t="n">
        <v>3</v>
      </c>
      <c r="C30" s="34" t="n">
        <f aca="false">INDEX(Inputs!$B$18:$E$18,1,2)</f>
        <v>20</v>
      </c>
      <c r="D30" s="22" t="n">
        <f aca="false">$B$10*($C$10+$C$6)*($D$10+$D$6)*($E$18-($E$10+$E$6))*$F$18</f>
        <v>156800</v>
      </c>
      <c r="E30" s="24" t="n">
        <f aca="false">D30/$B$19</f>
        <v>0.0013550135501355</v>
      </c>
      <c r="F30" s="35" t="n">
        <f aca="false">IF(E30&gt;0,1/E30,"-")</f>
        <v>738</v>
      </c>
      <c r="G30" s="23" t="n">
        <f aca="false">C30*E30</f>
        <v>0.02710027100271</v>
      </c>
      <c r="O30" s="4" t="s">
        <v>145</v>
      </c>
      <c r="P30" s="23" t="n">
        <f aca="false">SUMIF($A$23:$A$53,"PLUM",$G$23:$G$53)</f>
        <v>0.049623568939771</v>
      </c>
      <c r="Q30" s="23" t="n">
        <f aca="false">P9*P14*P13*SUMIF($A$59:$A$89,"PLUM",$G$59:$G$89)</f>
        <v>0.0247467864139149</v>
      </c>
      <c r="R30" s="23" t="n">
        <f aca="false">P30+Q30</f>
        <v>0.0743703553536859</v>
      </c>
      <c r="S30" s="36" t="n">
        <f aca="false">R30/P20</f>
        <v>0.0791166858155639</v>
      </c>
    </row>
    <row r="31" customFormat="false" ht="15" hidden="false" customHeight="false" outlineLevel="0" collapsed="false">
      <c r="A31" s="4" t="s">
        <v>51</v>
      </c>
      <c r="B31" s="4" t="n">
        <v>4</v>
      </c>
      <c r="C31" s="34" t="n">
        <f aca="false">INDEX(Inputs!$B$18:$E$18,1,3)</f>
        <v>80</v>
      </c>
      <c r="D31" s="22" t="n">
        <f aca="false">$B$10*($C$10+$C$6)*($D$10+$D$6)*($E$10+$E$6)*($F$18-($F$10+$F$6))</f>
        <v>25536</v>
      </c>
      <c r="E31" s="24" t="n">
        <f aca="false">D31/$B$19</f>
        <v>0.000220673635307782</v>
      </c>
      <c r="F31" s="35" t="n">
        <f aca="false">IF(E31&gt;0,1/E31,"-")</f>
        <v>4531.57894736842</v>
      </c>
      <c r="G31" s="23" t="n">
        <f aca="false">C31*E31</f>
        <v>0.0176538908246225</v>
      </c>
      <c r="O31" s="4" t="s">
        <v>146</v>
      </c>
      <c r="P31" s="23" t="n">
        <f aca="false">SUMIF($A$23:$A$53,"A",$G$23:$G$53)</f>
        <v>0.0528870084619214</v>
      </c>
      <c r="Q31" s="23" t="n">
        <f aca="false">P9*P14*P13*SUMIF($A$59:$A$89,"A",$G$59:$G$89)</f>
        <v>0.0148071304737671</v>
      </c>
      <c r="R31" s="23" t="n">
        <f aca="false">P31+Q31</f>
        <v>0.0676941389356884</v>
      </c>
      <c r="S31" s="36" t="n">
        <f aca="false">R31/P20</f>
        <v>0.0720143919745915</v>
      </c>
    </row>
    <row r="32" customFormat="false" ht="15" hidden="false" customHeight="false" outlineLevel="0" collapsed="false">
      <c r="A32" s="4" t="s">
        <v>51</v>
      </c>
      <c r="B32" s="4" t="n">
        <v>5</v>
      </c>
      <c r="C32" s="34" t="n">
        <f aca="false">INDEX(Inputs!$B$18:$E$18,1,4)</f>
        <v>300</v>
      </c>
      <c r="D32" s="22" t="n">
        <f aca="false">$B$10*($C$10+$C$6)*($D$10+$D$6)*($E$10+$E$6)*($F$10+$F$6)</f>
        <v>1344</v>
      </c>
      <c r="E32" s="24" t="n">
        <f aca="false">D32/$B$19</f>
        <v>1.16144018583043E-005</v>
      </c>
      <c r="F32" s="35" t="n">
        <f aca="false">IF(E32&gt;0,1/E32,"-")</f>
        <v>86100</v>
      </c>
      <c r="G32" s="23" t="n">
        <f aca="false">C32*E32</f>
        <v>0.00348432055749129</v>
      </c>
      <c r="O32" s="4" t="s">
        <v>147</v>
      </c>
      <c r="P32" s="23" t="n">
        <f aca="false">SUMIF($A$23:$A$53,"K",$G$23:$G$53)</f>
        <v>0.0598867595818815</v>
      </c>
      <c r="Q32" s="23" t="n">
        <f aca="false">P9*P14*P13*SUMIF($A$59:$A$89,"K",$G$59:$G$89)</f>
        <v>0.0178625700953381</v>
      </c>
      <c r="R32" s="23" t="n">
        <f aca="false">P32+Q32</f>
        <v>0.0777493296772196</v>
      </c>
      <c r="S32" s="36" t="n">
        <f aca="false">R32/P20</f>
        <v>0.0827113069339182</v>
      </c>
    </row>
    <row r="33" customFormat="false" ht="15" hidden="false" customHeight="false" outlineLevel="0" collapsed="false">
      <c r="A33" s="4" t="s">
        <v>52</v>
      </c>
      <c r="B33" s="4" t="n">
        <v>3</v>
      </c>
      <c r="C33" s="34" t="n">
        <f aca="false">INDEX(Inputs!$B$19:$E$19,1,2)</f>
        <v>15</v>
      </c>
      <c r="D33" s="22" t="n">
        <f aca="false">$B$11*($C$11+$C$6)*($D$11+$D$6)*($E$18-($E$11+$E$6))*$F$18</f>
        <v>293760</v>
      </c>
      <c r="E33" s="24" t="n">
        <f aca="false">D33/$B$19</f>
        <v>0.00253857640617223</v>
      </c>
      <c r="F33" s="35" t="n">
        <f aca="false">IF(E33&gt;0,1/E33,"-")</f>
        <v>393.921568627451</v>
      </c>
      <c r="G33" s="23" t="n">
        <f aca="false">C33*E33</f>
        <v>0.0380786460925834</v>
      </c>
      <c r="O33" s="4" t="s">
        <v>148</v>
      </c>
      <c r="P33" s="23" t="n">
        <f aca="false">SUMIF($A$23:$A$53,"Q",$G$23:$G$53)</f>
        <v>0.0811608179857309</v>
      </c>
      <c r="Q33" s="23" t="n">
        <f aca="false">P9*P14*P13*SUMIF($A$59:$A$89,"Q",$G$59:$G$89)</f>
        <v>0.0150724912349457</v>
      </c>
      <c r="R33" s="23" t="n">
        <f aca="false">P33+Q33</f>
        <v>0.0962333092206766</v>
      </c>
      <c r="S33" s="36" t="n">
        <f aca="false">R33/P20</f>
        <v>0.102374937626635</v>
      </c>
    </row>
    <row r="34" customFormat="false" ht="15" hidden="false" customHeight="false" outlineLevel="0" collapsed="false">
      <c r="A34" s="4" t="s">
        <v>52</v>
      </c>
      <c r="B34" s="4" t="n">
        <v>4</v>
      </c>
      <c r="C34" s="34" t="n">
        <f aca="false">INDEX(Inputs!$B$19:$E$19,1,3)</f>
        <v>50</v>
      </c>
      <c r="D34" s="22" t="n">
        <f aca="false">$B$11*($C$11+$C$6)*($D$11+$D$6)*($E$11+$E$6)*($F$18-($F$11+$F$6))</f>
        <v>55944</v>
      </c>
      <c r="E34" s="24" t="n">
        <f aca="false">D34/$B$19</f>
        <v>0.000483449477351916</v>
      </c>
      <c r="F34" s="35" t="n">
        <f aca="false">IF(E34&gt;0,1/E34,"-")</f>
        <v>2068.46846846847</v>
      </c>
      <c r="G34" s="23" t="n">
        <f aca="false">C34*E34</f>
        <v>0.0241724738675958</v>
      </c>
      <c r="O34" s="4" t="s">
        <v>149</v>
      </c>
      <c r="P34" s="23" t="n">
        <f aca="false">SUMIF($A$23:$A$53,"J",$G$23:$G$53)</f>
        <v>0.0620540899286544</v>
      </c>
      <c r="Q34" s="23" t="n">
        <f aca="false">P9*P14*P13*SUMIF($A$59:$A$89,"J",$G$59:$G$89)</f>
        <v>0.0114271925499548</v>
      </c>
      <c r="R34" s="23" t="n">
        <f aca="false">P34+Q34</f>
        <v>0.0734812824786092</v>
      </c>
      <c r="S34" s="36" t="n">
        <f aca="false">R34/P20</f>
        <v>0.0781708721376533</v>
      </c>
    </row>
    <row r="35" customFormat="false" ht="15" hidden="false" customHeight="false" outlineLevel="0" collapsed="false">
      <c r="A35" s="4" t="s">
        <v>52</v>
      </c>
      <c r="B35" s="4" t="n">
        <v>5</v>
      </c>
      <c r="C35" s="34" t="n">
        <f aca="false">INDEX(Inputs!$B$19:$E$19,1,4)</f>
        <v>150</v>
      </c>
      <c r="D35" s="22" t="n">
        <f aca="false">$B$11*($C$11+$C$6)*($D$11+$D$6)*($E$11+$E$6)*($F$11+$F$6)</f>
        <v>4536</v>
      </c>
      <c r="E35" s="24" t="n">
        <f aca="false">D35/$B$19</f>
        <v>3.9198606271777E-005</v>
      </c>
      <c r="F35" s="35" t="n">
        <f aca="false">IF(E35&gt;0,1/E35,"-")</f>
        <v>25511.1111111111</v>
      </c>
      <c r="G35" s="23" t="n">
        <f aca="false">C35*E35</f>
        <v>0.00587979094076655</v>
      </c>
      <c r="O35" s="4" t="s">
        <v>150</v>
      </c>
      <c r="P35" s="23" t="n">
        <f aca="false">SUMIF($A$23:$A$53,"10",$G$23:$G$53)</f>
        <v>0.0847198025551684</v>
      </c>
      <c r="Q35" s="23" t="n">
        <f aca="false">P9*P14*P13*SUMIF($A$59:$A$89,"10",$G$59:$G$89)</f>
        <v>0.0187354766885277</v>
      </c>
      <c r="R35" s="23" t="n">
        <f aca="false">P35+Q35</f>
        <v>0.103455279243696</v>
      </c>
      <c r="S35" s="36" t="n">
        <f aca="false">R35/P20</f>
        <v>0.110057815173251</v>
      </c>
    </row>
    <row r="36" customFormat="false" ht="15" hidden="false" customHeight="false" outlineLevel="0" collapsed="false">
      <c r="A36" s="4" t="s">
        <v>53</v>
      </c>
      <c r="B36" s="4" t="n">
        <v>3</v>
      </c>
      <c r="C36" s="34" t="n">
        <f aca="false">INDEX(Inputs!$B$20:$E$20,1,2)</f>
        <v>10</v>
      </c>
      <c r="D36" s="22" t="n">
        <f aca="false">$B$12*($C$12+$C$6)*($D$12+$D$6)*($E$18-($E$12+$E$6))*$F$18</f>
        <v>293760</v>
      </c>
      <c r="E36" s="24" t="n">
        <f aca="false">D36/$B$19</f>
        <v>0.00253857640617223</v>
      </c>
      <c r="F36" s="35" t="n">
        <f aca="false">IF(E36&gt;0,1/E36,"-")</f>
        <v>393.921568627451</v>
      </c>
      <c r="G36" s="23" t="n">
        <f aca="false">C36*E36</f>
        <v>0.0253857640617223</v>
      </c>
      <c r="O36" s="4" t="s">
        <v>151</v>
      </c>
      <c r="P36" s="23" t="n">
        <f aca="false">$E$102</f>
        <v>0.0210160527625684</v>
      </c>
      <c r="Q36" s="23" t="n">
        <f aca="false">P9*P14*P13*$E$115</f>
        <v>0.00396139784528237</v>
      </c>
      <c r="R36" s="23" t="n">
        <f aca="false">P36+Q36</f>
        <v>0.0249774506078508</v>
      </c>
      <c r="S36" s="36" t="n">
        <f aca="false">R36/P20</f>
        <v>0.0265715163362758</v>
      </c>
    </row>
    <row r="37" customFormat="false" ht="15" hidden="false" customHeight="false" outlineLevel="0" collapsed="false">
      <c r="A37" s="4" t="s">
        <v>53</v>
      </c>
      <c r="B37" s="4" t="n">
        <v>4</v>
      </c>
      <c r="C37" s="34" t="n">
        <f aca="false">INDEX(Inputs!$B$20:$E$20,1,3)</f>
        <v>40</v>
      </c>
      <c r="D37" s="22" t="n">
        <f aca="false">$B$12*($C$12+$C$6)*($D$12+$D$6)*($E$12+$E$6)*($F$18-($F$12+$F$6))</f>
        <v>55944</v>
      </c>
      <c r="E37" s="24" t="n">
        <f aca="false">D37/$B$19</f>
        <v>0.000483449477351916</v>
      </c>
      <c r="F37" s="35" t="n">
        <f aca="false">IF(E37&gt;0,1/E37,"-")</f>
        <v>2068.46846846847</v>
      </c>
      <c r="G37" s="23" t="n">
        <f aca="false">C37*E37</f>
        <v>0.0193379790940767</v>
      </c>
      <c r="O37" s="4" t="s">
        <v>152</v>
      </c>
      <c r="R37" s="37" t="n">
        <f aca="false">P19</f>
        <v>-6.04920023802509E-044</v>
      </c>
    </row>
    <row r="38" customFormat="false" ht="15" hidden="false" customHeight="false" outlineLevel="0" collapsed="false">
      <c r="A38" s="4" t="s">
        <v>53</v>
      </c>
      <c r="B38" s="4" t="n">
        <v>5</v>
      </c>
      <c r="C38" s="34" t="n">
        <f aca="false">INDEX(Inputs!$B$20:$E$20,1,4)</f>
        <v>125</v>
      </c>
      <c r="D38" s="22" t="n">
        <f aca="false">$B$12*($C$12+$C$6)*($D$12+$D$6)*($E$12+$E$6)*($F$12+$F$6)</f>
        <v>4536</v>
      </c>
      <c r="E38" s="24" t="n">
        <f aca="false">D38/$B$19</f>
        <v>3.9198606271777E-005</v>
      </c>
      <c r="F38" s="35" t="n">
        <f aca="false">IF(E38&gt;0,1/E38,"-")</f>
        <v>25511.1111111111</v>
      </c>
      <c r="G38" s="23" t="n">
        <f aca="false">C38*E38</f>
        <v>0.00489982578397213</v>
      </c>
      <c r="O38" s="17" t="s">
        <v>139</v>
      </c>
      <c r="P38" s="29" t="n">
        <f aca="false">SUM(P26:P36)</f>
        <v>0.655425100934683</v>
      </c>
      <c r="Q38" s="29" t="n">
        <f aca="false">SUM(Q26:Q36)</f>
        <v>0.284583376253775</v>
      </c>
      <c r="R38" s="29" t="n">
        <f aca="false">SUM(R26:R37)</f>
        <v>0.940008477188458</v>
      </c>
    </row>
    <row r="39" customFormat="false" ht="15" hidden="false" customHeight="false" outlineLevel="0" collapsed="false">
      <c r="A39" s="4" t="s">
        <v>54</v>
      </c>
      <c r="B39" s="4" t="n">
        <v>3</v>
      </c>
      <c r="C39" s="34" t="n">
        <f aca="false">INDEX(Inputs!$B$21:$E$21,1,2)</f>
        <v>5</v>
      </c>
      <c r="D39" s="22" t="n">
        <f aca="false">$B$13*($C$13+$C$6)*($D$13+$D$6)*($E$18-($E$13+$E$6))*$F$18</f>
        <v>475200</v>
      </c>
      <c r="E39" s="24" t="n">
        <f aca="false">D39/$B$19</f>
        <v>0.00410652065704331</v>
      </c>
      <c r="F39" s="35" t="n">
        <f aca="false">IF(E39&gt;0,1/E39,"-")</f>
        <v>243.515151515152</v>
      </c>
      <c r="G39" s="23" t="n">
        <f aca="false">C39*E39</f>
        <v>0.0205326032852165</v>
      </c>
      <c r="O39" s="4" t="s">
        <v>153</v>
      </c>
      <c r="R39" s="37" t="n">
        <f aca="false">R38-P20</f>
        <v>0</v>
      </c>
    </row>
    <row r="40" customFormat="false" ht="15" hidden="false" customHeight="false" outlineLevel="0" collapsed="false">
      <c r="A40" s="4" t="s">
        <v>54</v>
      </c>
      <c r="B40" s="4" t="n">
        <v>4</v>
      </c>
      <c r="C40" s="34" t="n">
        <f aca="false">INDEX(Inputs!$B$21:$E$21,1,3)</f>
        <v>25</v>
      </c>
      <c r="D40" s="22" t="n">
        <f aca="false">$B$13*($C$13+$C$6)*($D$13+$D$6)*($E$13+$E$6)*($F$18-($F$13+$F$6))</f>
        <v>103680</v>
      </c>
      <c r="E40" s="24" t="n">
        <f aca="false">D40/$B$19</f>
        <v>0.000895968143354903</v>
      </c>
      <c r="F40" s="35" t="n">
        <f aca="false">IF(E40&gt;0,1/E40,"-")</f>
        <v>1116.11111111111</v>
      </c>
      <c r="G40" s="23" t="n">
        <f aca="false">C40*E40</f>
        <v>0.0223992035838726</v>
      </c>
    </row>
    <row r="41" customFormat="false" ht="15" hidden="false" customHeight="false" outlineLevel="0" collapsed="false">
      <c r="A41" s="4" t="s">
        <v>54</v>
      </c>
      <c r="B41" s="4" t="n">
        <v>5</v>
      </c>
      <c r="C41" s="34" t="n">
        <f aca="false">INDEX(Inputs!$B$21:$E$21,1,4)</f>
        <v>100</v>
      </c>
      <c r="D41" s="22" t="n">
        <f aca="false">$B$13*($C$13+$C$6)*($D$13+$D$6)*($E$13+$E$6)*($F$13+$F$6)</f>
        <v>11520</v>
      </c>
      <c r="E41" s="24" t="n">
        <f aca="false">D41/$B$19</f>
        <v>9.95520159283225E-005</v>
      </c>
      <c r="F41" s="35" t="n">
        <f aca="false">IF(E41&gt;0,1/E41,"-")</f>
        <v>10045</v>
      </c>
      <c r="G41" s="23" t="n">
        <f aca="false">C41*E41</f>
        <v>0.00995520159283225</v>
      </c>
    </row>
    <row r="42" customFormat="false" ht="15" hidden="false" customHeight="false" outlineLevel="0" collapsed="false">
      <c r="A42" s="4" t="s">
        <v>55</v>
      </c>
      <c r="B42" s="4" t="n">
        <v>3</v>
      </c>
      <c r="C42" s="34" t="n">
        <f aca="false">INDEX(Inputs!$B$22:$E$22,1,2)</f>
        <v>5</v>
      </c>
      <c r="D42" s="22" t="n">
        <f aca="false">$B$14*($C$14+$C$6)*($D$14+$D$6)*($E$18-($E$14+$E$6))*$F$18</f>
        <v>594000</v>
      </c>
      <c r="E42" s="24" t="n">
        <f aca="false">D42/$B$19</f>
        <v>0.00513315082130413</v>
      </c>
      <c r="F42" s="35" t="n">
        <f aca="false">IF(E42&gt;0,1/E42,"-")</f>
        <v>194.812121212121</v>
      </c>
      <c r="G42" s="23" t="n">
        <f aca="false">C42*E42</f>
        <v>0.0256657541065207</v>
      </c>
      <c r="O42" s="20" t="s">
        <v>154</v>
      </c>
      <c r="P42" s="21"/>
      <c r="Q42" s="21"/>
      <c r="R42" s="21"/>
      <c r="S42" s="21"/>
    </row>
    <row r="43" customFormat="false" ht="15" hidden="false" customHeight="false" outlineLevel="0" collapsed="false">
      <c r="A43" s="4" t="s">
        <v>55</v>
      </c>
      <c r="B43" s="4" t="n">
        <v>4</v>
      </c>
      <c r="C43" s="34" t="n">
        <f aca="false">INDEX(Inputs!$B$22:$E$22,1,3)</f>
        <v>20</v>
      </c>
      <c r="D43" s="22" t="n">
        <f aca="false">$B$14*($C$14+$C$6)*($D$14+$D$6)*($E$14+$E$6)*($F$18-($F$14+$F$6))</f>
        <v>126000</v>
      </c>
      <c r="E43" s="24" t="n">
        <f aca="false">D43/$B$19</f>
        <v>0.00108885017421603</v>
      </c>
      <c r="F43" s="35" t="n">
        <f aca="false">IF(E43&gt;0,1/E43,"-")</f>
        <v>918.4</v>
      </c>
      <c r="G43" s="23" t="n">
        <f aca="false">C43*E43</f>
        <v>0.0217770034843206</v>
      </c>
      <c r="O43" s="3" t="s">
        <v>155</v>
      </c>
      <c r="P43" s="3" t="s">
        <v>156</v>
      </c>
      <c r="Q43" s="3" t="s">
        <v>157</v>
      </c>
      <c r="R43" s="3" t="s">
        <v>158</v>
      </c>
    </row>
    <row r="44" customFormat="false" ht="15" hidden="false" customHeight="false" outlineLevel="0" collapsed="false">
      <c r="A44" s="4" t="s">
        <v>55</v>
      </c>
      <c r="B44" s="4" t="n">
        <v>5</v>
      </c>
      <c r="C44" s="34" t="n">
        <f aca="false">INDEX(Inputs!$B$22:$E$22,1,4)</f>
        <v>80</v>
      </c>
      <c r="D44" s="22" t="n">
        <f aca="false">$B$14*($C$14+$C$6)*($D$14+$D$6)*($E$14+$E$6)*($F$14+$F$6)</f>
        <v>18000</v>
      </c>
      <c r="E44" s="24" t="n">
        <f aca="false">D44/$B$19</f>
        <v>0.000155550024888004</v>
      </c>
      <c r="F44" s="35" t="n">
        <f aca="false">IF(E44&gt;0,1/E44,"-")</f>
        <v>6428.8</v>
      </c>
      <c r="G44" s="23" t="n">
        <f aca="false">C44*E44</f>
        <v>0.0124440019910403</v>
      </c>
      <c r="O44" s="4" t="s">
        <v>159</v>
      </c>
      <c r="P44" s="6" t="n">
        <v>0.940008477188458</v>
      </c>
      <c r="Q44" s="6" t="n">
        <v>0.9394772314</v>
      </c>
      <c r="R44" s="4" t="s">
        <v>230</v>
      </c>
    </row>
    <row r="45" customFormat="false" ht="15" hidden="false" customHeight="false" outlineLevel="0" collapsed="false">
      <c r="A45" s="4" t="s">
        <v>56</v>
      </c>
      <c r="B45" s="4" t="n">
        <v>3</v>
      </c>
      <c r="C45" s="34" t="n">
        <f aca="false">INDEX(Inputs!$B$23:$E$23,1,2)</f>
        <v>5</v>
      </c>
      <c r="D45" s="22" t="n">
        <f aca="false">$B$15*($C$15+$C$6)*($D$15+$D$6)*($E$18-($E$15+$E$6))*$F$18</f>
        <v>844800</v>
      </c>
      <c r="E45" s="24" t="n">
        <f aca="false">D45/$B$19</f>
        <v>0.00730048116807699</v>
      </c>
      <c r="F45" s="35" t="n">
        <f aca="false">IF(E45&gt;0,1/E45,"-")</f>
        <v>136.977272727273</v>
      </c>
      <c r="G45" s="23" t="n">
        <f aca="false">C45*E45</f>
        <v>0.0365024058403849</v>
      </c>
      <c r="O45" s="4" t="s">
        <v>161</v>
      </c>
      <c r="Q45" s="13" t="s">
        <v>231</v>
      </c>
      <c r="R45" s="4" t="s">
        <v>163</v>
      </c>
    </row>
    <row r="46" customFormat="false" ht="15" hidden="false" customHeight="false" outlineLevel="0" collapsed="false">
      <c r="A46" s="4" t="s">
        <v>56</v>
      </c>
      <c r="B46" s="4" t="n">
        <v>4</v>
      </c>
      <c r="C46" s="34" t="n">
        <f aca="false">INDEX(Inputs!$B$23:$E$23,1,3)</f>
        <v>15</v>
      </c>
      <c r="D46" s="22" t="n">
        <f aca="false">$B$15*($C$15+$C$6)*($D$15+$D$6)*($E$15+$E$6)*($F$18-($F$15+$F$6))</f>
        <v>201960</v>
      </c>
      <c r="E46" s="24" t="n">
        <f aca="false">D46/$B$19</f>
        <v>0.0017452712792434</v>
      </c>
      <c r="F46" s="35" t="n">
        <f aca="false">IF(E46&gt;0,1/E46,"-")</f>
        <v>572.976827094474</v>
      </c>
      <c r="G46" s="23" t="n">
        <f aca="false">C46*E46</f>
        <v>0.0261790691886511</v>
      </c>
      <c r="O46" s="4" t="s">
        <v>164</v>
      </c>
      <c r="P46" s="10" t="n">
        <v>0.551723338725734</v>
      </c>
      <c r="Q46" s="10" t="n">
        <v>0.551755828</v>
      </c>
      <c r="R46" s="4" t="s">
        <v>232</v>
      </c>
    </row>
    <row r="47" customFormat="false" ht="15" hidden="false" customHeight="false" outlineLevel="0" collapsed="false">
      <c r="A47" s="4" t="s">
        <v>56</v>
      </c>
      <c r="B47" s="4" t="n">
        <v>5</v>
      </c>
      <c r="C47" s="34" t="n">
        <f aca="false">INDEX(Inputs!$B$23:$E$23,1,4)</f>
        <v>60</v>
      </c>
      <c r="D47" s="22" t="n">
        <f aca="false">$B$15*($C$15+$C$6)*($D$15+$D$6)*($E$15+$E$6)*($F$15+$F$6)</f>
        <v>35640</v>
      </c>
      <c r="E47" s="24" t="n">
        <f aca="false">D47/$B$19</f>
        <v>0.000307989049278248</v>
      </c>
      <c r="F47" s="35" t="n">
        <f aca="false">IF(E47&gt;0,1/E47,"-")</f>
        <v>3246.86868686869</v>
      </c>
      <c r="G47" s="23" t="n">
        <f aca="false">C47*E47</f>
        <v>0.0184793429566949</v>
      </c>
      <c r="O47" s="4" t="s">
        <v>166</v>
      </c>
      <c r="P47" s="25" t="n">
        <v>0.00843330014932802</v>
      </c>
      <c r="Q47" s="25" t="n">
        <v>0.0084224</v>
      </c>
      <c r="R47" s="4" t="s">
        <v>233</v>
      </c>
    </row>
    <row r="48" customFormat="false" ht="15" hidden="false" customHeight="false" outlineLevel="0" collapsed="false">
      <c r="A48" s="4" t="s">
        <v>57</v>
      </c>
      <c r="B48" s="4" t="n">
        <v>3</v>
      </c>
      <c r="C48" s="34" t="n">
        <f aca="false">INDEX(Inputs!$B$24:$E$24,1,2)</f>
        <v>4</v>
      </c>
      <c r="D48" s="22" t="n">
        <f aca="false">$B$16*($C$16+$C$6)*($D$16+$D$6)*($E$18-($E$16+$E$6))*$F$18</f>
        <v>844800</v>
      </c>
      <c r="E48" s="24" t="n">
        <f aca="false">D48/$B$19</f>
        <v>0.00730048116807699</v>
      </c>
      <c r="F48" s="35" t="n">
        <f aca="false">IF(E48&gt;0,1/E48,"-")</f>
        <v>136.977272727273</v>
      </c>
      <c r="G48" s="23" t="n">
        <f aca="false">C48*E48</f>
        <v>0.0292019246723079</v>
      </c>
      <c r="O48" s="4" t="s">
        <v>168</v>
      </c>
      <c r="P48" s="38" t="n">
        <v>10.6373748403656</v>
      </c>
      <c r="Q48" s="38" t="n">
        <v>10.6358852583587</v>
      </c>
    </row>
    <row r="49" customFormat="false" ht="15" hidden="false" customHeight="false" outlineLevel="0" collapsed="false">
      <c r="A49" s="4" t="s">
        <v>57</v>
      </c>
      <c r="B49" s="4" t="n">
        <v>4</v>
      </c>
      <c r="C49" s="34" t="n">
        <f aca="false">INDEX(Inputs!$B$24:$E$24,1,3)</f>
        <v>10</v>
      </c>
      <c r="D49" s="22" t="n">
        <f aca="false">$B$16*($C$16+$C$6)*($D$16+$D$6)*($E$16+$E$6)*($F$18-($F$16+$F$6))</f>
        <v>201960</v>
      </c>
      <c r="E49" s="24" t="n">
        <f aca="false">D49/$B$19</f>
        <v>0.0017452712792434</v>
      </c>
      <c r="F49" s="35" t="n">
        <f aca="false">IF(E49&gt;0,1/E49,"-")</f>
        <v>572.976827094474</v>
      </c>
      <c r="G49" s="23" t="n">
        <f aca="false">C49*E49</f>
        <v>0.017452712792434</v>
      </c>
      <c r="O49" s="4" t="s">
        <v>169</v>
      </c>
      <c r="P49" s="38" t="n">
        <v>4.60823712783862</v>
      </c>
      <c r="Q49" s="38" t="n">
        <v>4.60017381936933</v>
      </c>
    </row>
    <row r="50" customFormat="false" ht="15" hidden="false" customHeight="false" outlineLevel="0" collapsed="false">
      <c r="A50" s="4" t="s">
        <v>57</v>
      </c>
      <c r="B50" s="4" t="n">
        <v>5</v>
      </c>
      <c r="C50" s="34" t="n">
        <f aca="false">INDEX(Inputs!$B$24:$E$24,1,4)</f>
        <v>50</v>
      </c>
      <c r="D50" s="22" t="n">
        <f aca="false">$B$16*($C$16+$C$6)*($D$16+$D$6)*($E$16+$E$6)*($F$16+$F$6)</f>
        <v>35640</v>
      </c>
      <c r="E50" s="24" t="n">
        <f aca="false">D50/$B$19</f>
        <v>0.000307989049278248</v>
      </c>
      <c r="F50" s="35" t="n">
        <f aca="false">IF(E50&gt;0,1/E50,"-")</f>
        <v>3246.86868686869</v>
      </c>
      <c r="G50" s="23" t="n">
        <f aca="false">C50*E50</f>
        <v>0.0153994524639124</v>
      </c>
      <c r="O50" s="4" t="s">
        <v>170</v>
      </c>
      <c r="P50" s="38" t="n">
        <v>7.58055007529453</v>
      </c>
      <c r="Q50" s="38" t="n">
        <v>7.56728593286255</v>
      </c>
    </row>
    <row r="51" customFormat="false" ht="15" hidden="false" customHeight="false" outlineLevel="0" collapsed="false">
      <c r="A51" s="4" t="s">
        <v>58</v>
      </c>
      <c r="B51" s="4" t="n">
        <v>3</v>
      </c>
      <c r="C51" s="34" t="n">
        <f aca="false">INDEX(Inputs!$B$25:$E$25,1,2)</f>
        <v>4</v>
      </c>
      <c r="D51" s="22" t="n">
        <f aca="false">$B$17*($C$17+$C$6)*($D$17+$D$6)*($E$18-($E$17+$E$6))*$F$18</f>
        <v>1182720</v>
      </c>
      <c r="E51" s="24" t="n">
        <f aca="false">D51/$B$19</f>
        <v>0.0102206736353078</v>
      </c>
      <c r="F51" s="35" t="n">
        <f aca="false">IF(E51&gt;0,1/E51,"-")</f>
        <v>97.8409090909091</v>
      </c>
      <c r="G51" s="23" t="n">
        <f aca="false">C51*E51</f>
        <v>0.0408826945412311</v>
      </c>
      <c r="O51" s="4" t="s">
        <v>171</v>
      </c>
      <c r="P51" s="11" t="n">
        <v>110</v>
      </c>
    </row>
    <row r="52" customFormat="false" ht="15" hidden="false" customHeight="false" outlineLevel="0" collapsed="false">
      <c r="A52" s="4" t="s">
        <v>58</v>
      </c>
      <c r="B52" s="4" t="n">
        <v>4</v>
      </c>
      <c r="C52" s="34" t="n">
        <f aca="false">INDEX(Inputs!$B$25:$E$25,1,3)</f>
        <v>10</v>
      </c>
      <c r="D52" s="22" t="n">
        <f aca="false">$B$17*($C$17+$C$6)*($D$17+$D$6)*($E$17+$E$6)*($F$18-($F$17+$F$6))</f>
        <v>274428</v>
      </c>
      <c r="E52" s="24" t="n">
        <f aca="false">D52/$B$19</f>
        <v>0.00237151567944251</v>
      </c>
      <c r="F52" s="35" t="n">
        <f aca="false">IF(E52&gt;0,1/E52,"-")</f>
        <v>421.671258034894</v>
      </c>
      <c r="G52" s="23" t="n">
        <f aca="false">C52*E52</f>
        <v>0.0237151567944251</v>
      </c>
      <c r="O52" s="4" t="s">
        <v>172</v>
      </c>
      <c r="P52" s="11" t="n">
        <v>241.6</v>
      </c>
    </row>
    <row r="53" customFormat="false" ht="15" hidden="false" customHeight="false" outlineLevel="0" collapsed="false">
      <c r="A53" s="4" t="s">
        <v>58</v>
      </c>
      <c r="B53" s="4" t="n">
        <v>5</v>
      </c>
      <c r="C53" s="34" t="n">
        <f aca="false">INDEX(Inputs!$B$25:$E$25,1,4)</f>
        <v>40</v>
      </c>
      <c r="D53" s="22" t="n">
        <f aca="false">$B$17*($C$17+$C$6)*($D$17+$D$6)*($E$17+$E$6)*($F$17+$F$6)</f>
        <v>58212</v>
      </c>
      <c r="E53" s="24" t="n">
        <f aca="false">D53/$B$19</f>
        <v>0.000503048780487805</v>
      </c>
      <c r="F53" s="35" t="n">
        <f aca="false">IF(E53&gt;0,1/E53,"-")</f>
        <v>1987.87878787879</v>
      </c>
      <c r="G53" s="23" t="n">
        <f aca="false">C53*E53</f>
        <v>0.0201219512195122</v>
      </c>
      <c r="O53" s="4" t="s">
        <v>173</v>
      </c>
      <c r="P53" s="31" t="n">
        <v>1.22520658925444E-045</v>
      </c>
      <c r="Q53" s="31" t="n">
        <v>0</v>
      </c>
      <c r="R53" s="4" t="s">
        <v>174</v>
      </c>
    </row>
    <row r="54" customFormat="false" ht="15" hidden="false" customHeight="false" outlineLevel="0" collapsed="false">
      <c r="A54" s="17" t="s">
        <v>175</v>
      </c>
      <c r="G54" s="29" t="n">
        <f aca="false">SUM(G23:G53)</f>
        <v>0.634409048172114</v>
      </c>
      <c r="O54" s="4" t="s">
        <v>176</v>
      </c>
      <c r="Q54" s="39" t="n">
        <v>635.15</v>
      </c>
    </row>
    <row r="55" customFormat="false" ht="15" hidden="false" customHeight="false" outlineLevel="0" collapsed="false">
      <c r="A55" s="4" t="s">
        <v>177</v>
      </c>
      <c r="G55" s="24" t="n">
        <f aca="false">SUM(E23:E53)</f>
        <v>0.0561507936507937</v>
      </c>
    </row>
    <row r="56" customFormat="false" ht="15" hidden="false" customHeight="false" outlineLevel="0" collapsed="false">
      <c r="O56" s="3" t="s">
        <v>178</v>
      </c>
      <c r="P56" s="3" t="s">
        <v>179</v>
      </c>
      <c r="Q56" s="3" t="s">
        <v>180</v>
      </c>
      <c r="R56" s="3" t="s">
        <v>181</v>
      </c>
    </row>
    <row r="57" customFormat="false" ht="15" hidden="false" customHeight="false" outlineLevel="0" collapsed="false">
      <c r="A57" s="20" t="s">
        <v>182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O57" s="4" t="s">
        <v>183</v>
      </c>
      <c r="P57" s="25" t="n">
        <v>0.448276661274266</v>
      </c>
      <c r="Q57" s="25" t="n">
        <v>0.448244172</v>
      </c>
      <c r="R57" s="40" t="n">
        <v>2.23076525366592</v>
      </c>
    </row>
    <row r="58" customFormat="false" ht="23.85" hidden="false" customHeight="false" outlineLevel="0" collapsed="false">
      <c r="A58" s="3" t="s">
        <v>44</v>
      </c>
      <c r="B58" s="3" t="s">
        <v>129</v>
      </c>
      <c r="C58" s="3" t="s">
        <v>130</v>
      </c>
      <c r="D58" s="3" t="s">
        <v>131</v>
      </c>
      <c r="E58" s="3" t="s">
        <v>132</v>
      </c>
      <c r="F58" s="3" t="s">
        <v>133</v>
      </c>
      <c r="G58" s="3" t="s">
        <v>134</v>
      </c>
      <c r="O58" s="4" t="s">
        <v>184</v>
      </c>
      <c r="P58" s="25" t="n">
        <v>0.355119998202533</v>
      </c>
      <c r="Q58" s="25" t="n">
        <v>0.355160064</v>
      </c>
      <c r="R58" s="40" t="n">
        <v>2.81594955243742</v>
      </c>
    </row>
    <row r="59" customFormat="false" ht="15" hidden="false" customHeight="false" outlineLevel="0" collapsed="false">
      <c r="A59" s="4" t="s">
        <v>49</v>
      </c>
      <c r="B59" s="4" t="n">
        <v>2</v>
      </c>
      <c r="C59" s="34" t="n">
        <f aca="false">INDEX(Inputs!$B$16:$E$16,1,1)</f>
        <v>2</v>
      </c>
      <c r="D59" s="22" t="n">
        <f aca="false">$H$8*($I$8+$I$6)*($J$18-($J$8+$J$6))*$K$18*$L$18</f>
        <v>436968</v>
      </c>
      <c r="E59" s="24" t="n">
        <f aca="false">D59/$H$19</f>
        <v>0.00961734174638714</v>
      </c>
      <c r="F59" s="35" t="n">
        <f aca="false">IF(E59&gt;0,1/E59,"-")</f>
        <v>103.978835978836</v>
      </c>
      <c r="G59" s="23" t="n">
        <f aca="false">C59*E59</f>
        <v>0.0192346834927743</v>
      </c>
      <c r="O59" s="4" t="s">
        <v>185</v>
      </c>
      <c r="P59" s="25" t="n">
        <v>0.101633767836403</v>
      </c>
      <c r="Q59" s="25" t="n">
        <v>0.101635184</v>
      </c>
      <c r="R59" s="40" t="n">
        <v>9.83924950622389</v>
      </c>
    </row>
    <row r="60" customFormat="false" ht="15" hidden="false" customHeight="false" outlineLevel="0" collapsed="false">
      <c r="A60" s="4" t="s">
        <v>49</v>
      </c>
      <c r="B60" s="4" t="n">
        <v>3</v>
      </c>
      <c r="C60" s="34" t="n">
        <f aca="false">INDEX(Inputs!$B$16:$E$16,1,2)</f>
        <v>50</v>
      </c>
      <c r="D60" s="22" t="n">
        <f aca="false">$H$8*($I$8+$I$6)*($J$8+$J$6)*($K$18-($K$8+$K$6))*$L$18</f>
        <v>89964</v>
      </c>
      <c r="E60" s="24" t="n">
        <f aca="false">D60/$H$19</f>
        <v>0.00198004094778559</v>
      </c>
      <c r="F60" s="35" t="n">
        <f aca="false">IF(E60&gt;0,1/E60,"-")</f>
        <v>505.040060468632</v>
      </c>
      <c r="G60" s="23" t="n">
        <f aca="false">C60*E60</f>
        <v>0.0990020473892793</v>
      </c>
      <c r="O60" s="4" t="s">
        <v>186</v>
      </c>
      <c r="P60" s="25" t="n">
        <v>0.0693264948981686</v>
      </c>
      <c r="Q60" s="25" t="n">
        <v>0.069322996</v>
      </c>
      <c r="R60" s="40" t="n">
        <v>14.4244996298871</v>
      </c>
    </row>
    <row r="61" customFormat="false" ht="15" hidden="false" customHeight="false" outlineLevel="0" collapsed="false">
      <c r="A61" s="4" t="s">
        <v>49</v>
      </c>
      <c r="B61" s="4" t="n">
        <v>4</v>
      </c>
      <c r="C61" s="34" t="n">
        <f aca="false">INDEX(Inputs!$B$16:$E$16,1,3)</f>
        <v>250</v>
      </c>
      <c r="D61" s="22" t="n">
        <f aca="false">$H$8*($I$8+$I$6)*($J$8+$J$6)*($K$8+$K$6)*($L$18-($L$8+$L$6))</f>
        <v>21952</v>
      </c>
      <c r="E61" s="24" t="n">
        <f aca="false">D61/$H$19</f>
        <v>0.000483147246518487</v>
      </c>
      <c r="F61" s="35" t="n">
        <f aca="false">IF(E61&gt;0,1/E61,"-")</f>
        <v>2069.76239067055</v>
      </c>
      <c r="G61" s="23" t="n">
        <f aca="false">C61*E61</f>
        <v>0.120786811629622</v>
      </c>
      <c r="O61" s="4" t="s">
        <v>187</v>
      </c>
      <c r="P61" s="25" t="n">
        <v>0.0145108570625827</v>
      </c>
      <c r="Q61" s="25" t="n">
        <v>0.014514812</v>
      </c>
      <c r="R61" s="40" t="n">
        <v>68.9139170544634</v>
      </c>
    </row>
    <row r="62" customFormat="false" ht="15" hidden="false" customHeight="false" outlineLevel="0" collapsed="false">
      <c r="A62" s="4" t="s">
        <v>49</v>
      </c>
      <c r="B62" s="4" t="n">
        <v>5</v>
      </c>
      <c r="C62" s="34" t="n">
        <f aca="false">INDEX(Inputs!$B$16:$E$16,1,4)</f>
        <v>1000</v>
      </c>
      <c r="D62" s="22" t="n">
        <f aca="false">$H$8*($I$8+$I$6)*($J$8+$J$6)*($K$8+$K$6)*($L$8+$L$6)</f>
        <v>1372</v>
      </c>
      <c r="E62" s="24" t="n">
        <f aca="false">D62/$H$19</f>
        <v>3.01967029074055E-005</v>
      </c>
      <c r="F62" s="35" t="n">
        <f aca="false">IF(E62&gt;0,1/E62,"-")</f>
        <v>33116.1982507289</v>
      </c>
      <c r="G62" s="23" t="n">
        <f aca="false">C62*E62</f>
        <v>0.0301967029074055</v>
      </c>
      <c r="O62" s="4" t="s">
        <v>188</v>
      </c>
      <c r="P62" s="25" t="n">
        <v>0.00493095009921183</v>
      </c>
      <c r="Q62" s="25" t="n">
        <v>0.004932536</v>
      </c>
      <c r="R62" s="40" t="n">
        <v>202.800673273867</v>
      </c>
    </row>
    <row r="63" customFormat="false" ht="15" hidden="false" customHeight="false" outlineLevel="0" collapsed="false">
      <c r="A63" s="4" t="s">
        <v>50</v>
      </c>
      <c r="B63" s="4" t="n">
        <v>3</v>
      </c>
      <c r="C63" s="34" t="n">
        <f aca="false">INDEX(Inputs!$B$17:$E$17,1,2)</f>
        <v>30</v>
      </c>
      <c r="D63" s="22" t="n">
        <f aca="false">$H$9*($I$9+$I$6)*($J$9+$J$6)*($K$18-($K$9+$K$6))*$L$18</f>
        <v>89964</v>
      </c>
      <c r="E63" s="24" t="n">
        <f aca="false">D63/$H$19</f>
        <v>0.00198004094778559</v>
      </c>
      <c r="F63" s="35" t="n">
        <f aca="false">IF(E63&gt;0,1/E63,"-")</f>
        <v>505.040060468632</v>
      </c>
      <c r="G63" s="23" t="n">
        <f aca="false">C63*E63</f>
        <v>0.0594012284335676</v>
      </c>
      <c r="O63" s="4" t="s">
        <v>189</v>
      </c>
      <c r="P63" s="25" t="n">
        <v>0.00431219830794747</v>
      </c>
      <c r="Q63" s="25" t="n">
        <v>0.004305636</v>
      </c>
      <c r="R63" s="40" t="n">
        <v>231.900281152882</v>
      </c>
    </row>
    <row r="64" customFormat="false" ht="15" hidden="false" customHeight="false" outlineLevel="0" collapsed="false">
      <c r="A64" s="4" t="s">
        <v>50</v>
      </c>
      <c r="B64" s="4" t="n">
        <v>4</v>
      </c>
      <c r="C64" s="34" t="n">
        <f aca="false">INDEX(Inputs!$B$17:$E$17,1,3)</f>
        <v>120</v>
      </c>
      <c r="D64" s="22" t="n">
        <f aca="false">$H$9*($I$9+$I$6)*($J$9+$J$6)*($K$9+$K$6)*($L$18-($L$9+$L$6))</f>
        <v>21952</v>
      </c>
      <c r="E64" s="24" t="n">
        <f aca="false">D64/$H$19</f>
        <v>0.000483147246518487</v>
      </c>
      <c r="F64" s="35" t="n">
        <f aca="false">IF(E64&gt;0,1/E64,"-")</f>
        <v>2069.76239067055</v>
      </c>
      <c r="G64" s="23" t="n">
        <f aca="false">C64*E64</f>
        <v>0.0579776695822185</v>
      </c>
      <c r="O64" s="4" t="s">
        <v>190</v>
      </c>
      <c r="P64" s="25" t="n">
        <v>0.00155147774906654</v>
      </c>
      <c r="Q64" s="25" t="n">
        <v>0.001548208</v>
      </c>
      <c r="R64" s="40" t="n">
        <v>644.546788119688</v>
      </c>
    </row>
    <row r="65" customFormat="false" ht="15" hidden="false" customHeight="false" outlineLevel="0" collapsed="false">
      <c r="A65" s="4" t="s">
        <v>50</v>
      </c>
      <c r="B65" s="4" t="n">
        <v>5</v>
      </c>
      <c r="C65" s="34" t="n">
        <f aca="false">INDEX(Inputs!$B$17:$E$17,1,4)</f>
        <v>500</v>
      </c>
      <c r="D65" s="22" t="n">
        <f aca="false">$H$9*($I$9+$I$6)*($J$9+$J$6)*($K$9+$K$6)*($L$9+$L$6)</f>
        <v>1372</v>
      </c>
      <c r="E65" s="24" t="n">
        <f aca="false">D65/$H$19</f>
        <v>3.01967029074055E-005</v>
      </c>
      <c r="F65" s="35" t="n">
        <f aca="false">IF(E65&gt;0,1/E65,"-")</f>
        <v>33116.1982507289</v>
      </c>
      <c r="G65" s="23" t="n">
        <f aca="false">C65*E65</f>
        <v>0.0150983514537027</v>
      </c>
      <c r="O65" s="4" t="s">
        <v>191</v>
      </c>
      <c r="P65" s="25" t="n">
        <v>0.00032232371822986</v>
      </c>
      <c r="Q65" s="25" t="n">
        <v>0.000321464</v>
      </c>
      <c r="R65" s="40" t="n">
        <v>3102.47103592564</v>
      </c>
    </row>
    <row r="66" customFormat="false" ht="15" hidden="false" customHeight="false" outlineLevel="0" collapsed="false">
      <c r="A66" s="4" t="s">
        <v>51</v>
      </c>
      <c r="B66" s="4" t="n">
        <v>3</v>
      </c>
      <c r="C66" s="34" t="n">
        <f aca="false">INDEX(Inputs!$B$18:$E$18,1,2)</f>
        <v>20</v>
      </c>
      <c r="D66" s="22" t="n">
        <f aca="false">$H$10*($I$10+$I$6)*($J$10+$J$6)*($K$18-($K$10+$K$6))*$L$18</f>
        <v>134946</v>
      </c>
      <c r="E66" s="24" t="n">
        <f aca="false">D66/$H$19</f>
        <v>0.00297006142167838</v>
      </c>
      <c r="F66" s="35" t="n">
        <f aca="false">IF(E66&gt;0,1/E66,"-")</f>
        <v>336.693373645755</v>
      </c>
      <c r="G66" s="23" t="n">
        <f aca="false">C66*E66</f>
        <v>0.0594012284335676</v>
      </c>
      <c r="O66" s="4" t="s">
        <v>192</v>
      </c>
      <c r="P66" s="25" t="n">
        <v>1.49816872243445E-005</v>
      </c>
      <c r="Q66" s="25" t="n">
        <v>1.4688E-005</v>
      </c>
      <c r="R66" s="40" t="n">
        <v>66748.1562674096</v>
      </c>
    </row>
    <row r="67" customFormat="false" ht="15" hidden="false" customHeight="false" outlineLevel="0" collapsed="false">
      <c r="A67" s="4" t="s">
        <v>51</v>
      </c>
      <c r="B67" s="4" t="n">
        <v>4</v>
      </c>
      <c r="C67" s="34" t="n">
        <f aca="false">INDEX(Inputs!$B$18:$E$18,1,3)</f>
        <v>80</v>
      </c>
      <c r="D67" s="22" t="n">
        <f aca="false">$H$10*($I$10+$I$6)*($J$10+$J$6)*($K$10+$K$6)*($L$18-($L$10+$L$6))</f>
        <v>31899</v>
      </c>
      <c r="E67" s="24" t="n">
        <f aca="false">D67/$H$19</f>
        <v>0.000702073342597177</v>
      </c>
      <c r="F67" s="35" t="n">
        <f aca="false">IF(E67&gt;0,1/E67,"-")</f>
        <v>1424.35261293457</v>
      </c>
      <c r="G67" s="23" t="n">
        <f aca="false">C67*E67</f>
        <v>0.0561658674077742</v>
      </c>
      <c r="O67" s="4" t="s">
        <v>193</v>
      </c>
      <c r="P67" s="25" t="n">
        <v>2.89148472782021E-007</v>
      </c>
      <c r="Q67" s="25" t="n">
        <v>2.4E-007</v>
      </c>
      <c r="R67" s="40" t="n">
        <v>3458430.85518859</v>
      </c>
    </row>
    <row r="68" customFormat="false" ht="15" hidden="false" customHeight="false" outlineLevel="0" collapsed="false">
      <c r="A68" s="4" t="s">
        <v>51</v>
      </c>
      <c r="B68" s="4" t="n">
        <v>5</v>
      </c>
      <c r="C68" s="34" t="n">
        <f aca="false">INDEX(Inputs!$B$18:$E$18,1,4)</f>
        <v>300</v>
      </c>
      <c r="D68" s="22" t="n">
        <f aca="false">$H$10*($I$10+$I$6)*($J$10+$J$6)*($K$10+$K$6)*($L$10+$L$6)</f>
        <v>3087</v>
      </c>
      <c r="E68" s="24" t="n">
        <f aca="false">D68/$H$19</f>
        <v>6.79425815416623E-005</v>
      </c>
      <c r="F68" s="35" t="n">
        <f aca="false">IF(E68&gt;0,1/E68,"-")</f>
        <v>14718.3103336573</v>
      </c>
      <c r="G68" s="23" t="n">
        <f aca="false">C68*E68</f>
        <v>0.0203827744624987</v>
      </c>
      <c r="O68" s="4" t="s">
        <v>194</v>
      </c>
      <c r="P68" s="25" t="n">
        <v>1.58942308549003E-011</v>
      </c>
      <c r="Q68" s="25" t="n">
        <v>0</v>
      </c>
      <c r="R68" s="40" t="n">
        <v>62915910126.7045</v>
      </c>
    </row>
    <row r="69" customFormat="false" ht="15" hidden="false" customHeight="false" outlineLevel="0" collapsed="false">
      <c r="A69" s="4" t="s">
        <v>52</v>
      </c>
      <c r="B69" s="4" t="n">
        <v>3</v>
      </c>
      <c r="C69" s="34" t="n">
        <f aca="false">INDEX(Inputs!$B$19:$E$19,1,2)</f>
        <v>15</v>
      </c>
      <c r="D69" s="22" t="n">
        <f aca="false">$H$11*($I$11+$I$6)*($J$11+$J$6)*($K$18-($K$11+$K$6))*$L$18</f>
        <v>169728</v>
      </c>
      <c r="E69" s="24" t="n">
        <f aca="false">D69/$H$19</f>
        <v>0.00373558745704673</v>
      </c>
      <c r="F69" s="35" t="n">
        <f aca="false">IF(E69&gt;0,1/E69,"-")</f>
        <v>267.695512820513</v>
      </c>
      <c r="G69" s="23" t="n">
        <f aca="false">C69*E69</f>
        <v>0.056033811855701</v>
      </c>
      <c r="O69" s="4" t="s">
        <v>195</v>
      </c>
      <c r="P69" s="25" t="n">
        <v>3.91041061598708E-024</v>
      </c>
      <c r="Q69" s="25" t="n">
        <v>0</v>
      </c>
      <c r="R69" s="40" t="n">
        <v>2.55727619987441E+023</v>
      </c>
    </row>
    <row r="70" customFormat="false" ht="15" hidden="false" customHeight="false" outlineLevel="0" collapsed="false">
      <c r="A70" s="4" t="s">
        <v>52</v>
      </c>
      <c r="B70" s="4" t="n">
        <v>4</v>
      </c>
      <c r="C70" s="34" t="n">
        <f aca="false">INDEX(Inputs!$B$19:$E$19,1,3)</f>
        <v>50</v>
      </c>
      <c r="D70" s="22" t="n">
        <f aca="false">$H$11*($I$11+$I$6)*($J$11+$J$6)*($K$11+$K$6)*($L$18-($L$11+$L$6))</f>
        <v>47616</v>
      </c>
      <c r="E70" s="24" t="n">
        <f aca="false">D70/$H$19</f>
        <v>0.00104799286125293</v>
      </c>
      <c r="F70" s="35" t="n">
        <f aca="false">IF(E70&gt;0,1/E70,"-")</f>
        <v>954.20497311828</v>
      </c>
      <c r="G70" s="23" t="n">
        <f aca="false">C70*E70</f>
        <v>0.0523996430626464</v>
      </c>
      <c r="O70" s="4" t="s">
        <v>196</v>
      </c>
      <c r="P70" s="25" t="n">
        <v>1.22520658925444E-045</v>
      </c>
      <c r="Q70" s="25" t="n">
        <v>0</v>
      </c>
      <c r="R70" s="40" t="n">
        <v>8.16188885017767E+044</v>
      </c>
    </row>
    <row r="71" customFormat="false" ht="15" hidden="false" customHeight="false" outlineLevel="0" collapsed="false">
      <c r="A71" s="4" t="s">
        <v>52</v>
      </c>
      <c r="B71" s="4" t="n">
        <v>5</v>
      </c>
      <c r="C71" s="34" t="n">
        <f aca="false">INDEX(Inputs!$B$19:$E$19,1,4)</f>
        <v>150</v>
      </c>
      <c r="D71" s="22" t="n">
        <f aca="false">$H$11*($I$11+$I$6)*($J$11+$J$6)*($K$11+$K$6)*($L$11+$L$6)</f>
        <v>4608</v>
      </c>
      <c r="E71" s="24" t="n">
        <f aca="false">D71/$H$19</f>
        <v>0.000101418663992219</v>
      </c>
      <c r="F71" s="35" t="n">
        <f aca="false">IF(E71&gt;0,1/E71,"-")</f>
        <v>9860.11805555556</v>
      </c>
      <c r="G71" s="23" t="n">
        <f aca="false">C71*E71</f>
        <v>0.0152127995988328</v>
      </c>
    </row>
    <row r="72" customFormat="false" ht="15" hidden="false" customHeight="false" outlineLevel="0" collapsed="false">
      <c r="A72" s="4" t="s">
        <v>53</v>
      </c>
      <c r="B72" s="4" t="n">
        <v>3</v>
      </c>
      <c r="C72" s="34" t="n">
        <f aca="false">INDEX(Inputs!$B$20:$E$20,1,2)</f>
        <v>10</v>
      </c>
      <c r="D72" s="22" t="n">
        <f aca="false">$H$12*($I$12+$I$6)*($J$12+$J$6)*($K$18-($K$12+$K$6))*$L$18</f>
        <v>169728</v>
      </c>
      <c r="E72" s="24" t="n">
        <f aca="false">D72/$H$19</f>
        <v>0.00373558745704673</v>
      </c>
      <c r="F72" s="35" t="n">
        <f aca="false">IF(E72&gt;0,1/E72,"-")</f>
        <v>267.695512820513</v>
      </c>
      <c r="G72" s="23" t="n">
        <f aca="false">C72*E72</f>
        <v>0.0373558745704673</v>
      </c>
      <c r="O72" s="3" t="s">
        <v>197</v>
      </c>
      <c r="P72" s="3" t="s">
        <v>198</v>
      </c>
      <c r="Q72" s="3" t="s">
        <v>199</v>
      </c>
      <c r="R72" s="3" t="s">
        <v>200</v>
      </c>
    </row>
    <row r="73" customFormat="false" ht="15" hidden="false" customHeight="false" outlineLevel="0" collapsed="false">
      <c r="A73" s="4" t="s">
        <v>53</v>
      </c>
      <c r="B73" s="4" t="n">
        <v>4</v>
      </c>
      <c r="C73" s="34" t="n">
        <f aca="false">INDEX(Inputs!$B$20:$E$20,1,3)</f>
        <v>40</v>
      </c>
      <c r="D73" s="22" t="n">
        <f aca="false">$H$12*($I$12+$I$6)*($J$12+$J$6)*($K$12+$K$6)*($L$18-($L$12+$L$6))</f>
        <v>47616</v>
      </c>
      <c r="E73" s="24" t="n">
        <f aca="false">D73/$H$19</f>
        <v>0.00104799286125293</v>
      </c>
      <c r="F73" s="35" t="n">
        <f aca="false">IF(E73&gt;0,1/E73,"-")</f>
        <v>954.20497311828</v>
      </c>
      <c r="G73" s="23" t="n">
        <f aca="false">C73*E73</f>
        <v>0.0419197144501172</v>
      </c>
      <c r="O73" s="41" t="n">
        <v>1000</v>
      </c>
      <c r="P73" s="36" t="n">
        <f aca="false">1.645*P49/SQRT(O73)</f>
        <v>0.239718041548916</v>
      </c>
      <c r="Q73" s="36" t="n">
        <f aca="false">1.96*P49/SQRT(O73)</f>
        <v>0.285621496313602</v>
      </c>
      <c r="R73" s="4" t="str">
        <f aca="false">TEXT(P20-Q73,"0.00%")&amp;" – "&amp;TEXT(P20+Q73,"0.00%")</f>
        <v>65.44% – 122.56%</v>
      </c>
    </row>
    <row r="74" customFormat="false" ht="15" hidden="false" customHeight="false" outlineLevel="0" collapsed="false">
      <c r="A74" s="4" t="s">
        <v>53</v>
      </c>
      <c r="B74" s="4" t="n">
        <v>5</v>
      </c>
      <c r="C74" s="34" t="n">
        <f aca="false">INDEX(Inputs!$B$20:$E$20,1,4)</f>
        <v>125</v>
      </c>
      <c r="D74" s="22" t="n">
        <f aca="false">$H$12*($I$12+$I$6)*($J$12+$J$6)*($K$12+$K$6)*($L$12+$L$6)</f>
        <v>4608</v>
      </c>
      <c r="E74" s="24" t="n">
        <f aca="false">D74/$H$19</f>
        <v>0.000101418663992219</v>
      </c>
      <c r="F74" s="35" t="n">
        <f aca="false">IF(E74&gt;0,1/E74,"-")</f>
        <v>9860.11805555556</v>
      </c>
      <c r="G74" s="23" t="n">
        <f aca="false">C74*E74</f>
        <v>0.0126773329990274</v>
      </c>
      <c r="O74" s="41" t="n">
        <v>10000</v>
      </c>
      <c r="P74" s="36" t="n">
        <f aca="false">1.645*P49/SQRT(O74)</f>
        <v>0.0758055007529453</v>
      </c>
      <c r="Q74" s="36" t="n">
        <f aca="false">1.96*P49/SQRT(O74)</f>
        <v>0.090321447705637</v>
      </c>
      <c r="R74" s="4" t="str">
        <f aca="false">TEXT(P20-Q74,"0.00%")&amp;" – "&amp;TEXT(P20+Q74,"0.00%")</f>
        <v>84.97% – 103.03%</v>
      </c>
    </row>
    <row r="75" customFormat="false" ht="15" hidden="false" customHeight="false" outlineLevel="0" collapsed="false">
      <c r="A75" s="4" t="s">
        <v>54</v>
      </c>
      <c r="B75" s="4" t="n">
        <v>3</v>
      </c>
      <c r="C75" s="34" t="n">
        <f aca="false">INDEX(Inputs!$B$21:$E$21,1,2)</f>
        <v>5</v>
      </c>
      <c r="D75" s="22" t="n">
        <f aca="false">$H$13*($I$13+$I$6)*($J$13+$J$6)*($K$18-($K$13+$K$6))*$L$18</f>
        <v>169728</v>
      </c>
      <c r="E75" s="24" t="n">
        <f aca="false">D75/$H$19</f>
        <v>0.00373558745704673</v>
      </c>
      <c r="F75" s="35" t="n">
        <f aca="false">IF(E75&gt;0,1/E75,"-")</f>
        <v>267.695512820513</v>
      </c>
      <c r="G75" s="23" t="n">
        <f aca="false">C75*E75</f>
        <v>0.0186779372852337</v>
      </c>
      <c r="O75" s="41" t="n">
        <v>100000</v>
      </c>
      <c r="P75" s="36" t="n">
        <f aca="false">1.645*P49/SQRT(O75)</f>
        <v>0.0239718041548916</v>
      </c>
      <c r="Q75" s="36" t="n">
        <f aca="false">1.96*P49/SQRT(O75)</f>
        <v>0.0285621496313602</v>
      </c>
      <c r="R75" s="4" t="str">
        <f aca="false">TEXT(P20-Q75,"0.00%")&amp;" – "&amp;TEXT(P20+Q75,"0.00%")</f>
        <v>91.14% – 96.86%</v>
      </c>
    </row>
    <row r="76" customFormat="false" ht="15" hidden="false" customHeight="false" outlineLevel="0" collapsed="false">
      <c r="A76" s="4" t="s">
        <v>54</v>
      </c>
      <c r="B76" s="4" t="n">
        <v>4</v>
      </c>
      <c r="C76" s="34" t="n">
        <f aca="false">INDEX(Inputs!$B$21:$E$21,1,3)</f>
        <v>25</v>
      </c>
      <c r="D76" s="22" t="n">
        <f aca="false">$H$13*($I$13+$I$6)*($J$13+$J$6)*($K$13+$K$6)*($L$18-($L$13+$L$6))</f>
        <v>47616</v>
      </c>
      <c r="E76" s="24" t="n">
        <f aca="false">D76/$H$19</f>
        <v>0.00104799286125293</v>
      </c>
      <c r="F76" s="35" t="n">
        <f aca="false">IF(E76&gt;0,1/E76,"-")</f>
        <v>954.20497311828</v>
      </c>
      <c r="G76" s="23" t="n">
        <f aca="false">C76*E76</f>
        <v>0.0261998215313232</v>
      </c>
      <c r="O76" s="41" t="n">
        <v>1000000</v>
      </c>
      <c r="P76" s="36" t="n">
        <f aca="false">1.645*P49/SQRT(O76)</f>
        <v>0.00758055007529453</v>
      </c>
      <c r="Q76" s="36" t="n">
        <f aca="false">1.96*P49/SQRT(O76)</f>
        <v>0.0090321447705637</v>
      </c>
      <c r="R76" s="4" t="str">
        <f aca="false">TEXT(P20-Q76,"0.00%")&amp;" – "&amp;TEXT(P20+Q76,"0.00%")</f>
        <v>93.10% – 94.90%</v>
      </c>
    </row>
    <row r="77" customFormat="false" ht="15" hidden="false" customHeight="false" outlineLevel="0" collapsed="false">
      <c r="A77" s="4" t="s">
        <v>54</v>
      </c>
      <c r="B77" s="4" t="n">
        <v>5</v>
      </c>
      <c r="C77" s="34" t="n">
        <f aca="false">INDEX(Inputs!$B$21:$E$21,1,4)</f>
        <v>100</v>
      </c>
      <c r="D77" s="22" t="n">
        <f aca="false">$H$13*($I$13+$I$6)*($J$13+$J$6)*($K$13+$K$6)*($L$13+$L$6)</f>
        <v>4608</v>
      </c>
      <c r="E77" s="24" t="n">
        <f aca="false">D77/$H$19</f>
        <v>0.000101418663992219</v>
      </c>
      <c r="F77" s="35" t="n">
        <f aca="false">IF(E77&gt;0,1/E77,"-")</f>
        <v>9860.11805555556</v>
      </c>
      <c r="G77" s="23" t="n">
        <f aca="false">C77*E77</f>
        <v>0.0101418663992219</v>
      </c>
      <c r="O77" s="41" t="n">
        <v>10000000</v>
      </c>
      <c r="P77" s="36" t="n">
        <f aca="false">1.645*P49/SQRT(O77)</f>
        <v>0.00239718041548916</v>
      </c>
      <c r="Q77" s="36" t="n">
        <f aca="false">1.96*P49/SQRT(O77)</f>
        <v>0.00285621496313602</v>
      </c>
      <c r="R77" s="4" t="str">
        <f aca="false">TEXT(P20-Q77,"0.00%")&amp;" – "&amp;TEXT(P20+Q77,"0.00%")</f>
        <v>93.72% – 94.29%</v>
      </c>
    </row>
    <row r="78" customFormat="false" ht="15" hidden="false" customHeight="false" outlineLevel="0" collapsed="false">
      <c r="A78" s="4" t="s">
        <v>55</v>
      </c>
      <c r="B78" s="4" t="n">
        <v>3</v>
      </c>
      <c r="C78" s="34" t="n">
        <f aca="false">INDEX(Inputs!$B$22:$E$22,1,2)</f>
        <v>5</v>
      </c>
      <c r="D78" s="22" t="n">
        <f aca="false">$H$14*($I$14+$I$6)*($J$14+$J$6)*($K$18-($K$14+$K$6))*$L$18</f>
        <v>226304</v>
      </c>
      <c r="E78" s="24" t="n">
        <f aca="false">D78/$H$19</f>
        <v>0.00498078327606231</v>
      </c>
      <c r="F78" s="35" t="n">
        <f aca="false">IF(E78&gt;0,1/E78,"-")</f>
        <v>200.771634615385</v>
      </c>
      <c r="G78" s="23" t="n">
        <f aca="false">C78*E78</f>
        <v>0.0249039163803115</v>
      </c>
      <c r="O78" s="41" t="n">
        <v>100000000</v>
      </c>
      <c r="P78" s="36" t="n">
        <f aca="false">1.645*P49/SQRT(O78)</f>
        <v>0.000758055007529453</v>
      </c>
      <c r="Q78" s="36" t="n">
        <f aca="false">1.96*P49/SQRT(O78)</f>
        <v>0.00090321447705637</v>
      </c>
      <c r="R78" s="4" t="str">
        <f aca="false">TEXT(P20-Q78,"0.00%")&amp;" – "&amp;TEXT(P20+Q78,"0.00%")</f>
        <v>93.91% – 94.09%</v>
      </c>
    </row>
    <row r="79" customFormat="false" ht="15" hidden="false" customHeight="false" outlineLevel="0" collapsed="false">
      <c r="A79" s="4" t="s">
        <v>55</v>
      </c>
      <c r="B79" s="4" t="n">
        <v>4</v>
      </c>
      <c r="C79" s="34" t="n">
        <f aca="false">INDEX(Inputs!$B$22:$E$22,1,3)</f>
        <v>20</v>
      </c>
      <c r="D79" s="22" t="n">
        <f aca="false">$H$14*($I$14+$I$6)*($J$14+$J$6)*($K$14+$K$6)*($L$18-($L$14+$L$6))</f>
        <v>61440</v>
      </c>
      <c r="E79" s="24" t="n">
        <f aca="false">D79/$H$19</f>
        <v>0.00135224885322959</v>
      </c>
      <c r="F79" s="35" t="n">
        <f aca="false">IF(E79&gt;0,1/E79,"-")</f>
        <v>739.508854166667</v>
      </c>
      <c r="G79" s="23" t="n">
        <f aca="false">C79*E79</f>
        <v>0.0270449770645917</v>
      </c>
    </row>
    <row r="80" customFormat="false" ht="15" hidden="false" customHeight="false" outlineLevel="0" collapsed="false">
      <c r="A80" s="4" t="s">
        <v>55</v>
      </c>
      <c r="B80" s="4" t="n">
        <v>5</v>
      </c>
      <c r="C80" s="34" t="n">
        <f aca="false">INDEX(Inputs!$B$22:$E$22,1,4)</f>
        <v>80</v>
      </c>
      <c r="D80" s="22" t="n">
        <f aca="false">$H$14*($I$14+$I$6)*($J$14+$J$6)*($K$14+$K$6)*($L$14+$L$6)</f>
        <v>8192</v>
      </c>
      <c r="E80" s="24" t="n">
        <f aca="false">D80/$H$19</f>
        <v>0.000180299847097278</v>
      </c>
      <c r="F80" s="35" t="n">
        <f aca="false">IF(E80&gt;0,1/E80,"-")</f>
        <v>5546.31640625</v>
      </c>
      <c r="G80" s="23" t="n">
        <f aca="false">C80*E80</f>
        <v>0.0144239877677822</v>
      </c>
    </row>
    <row r="81" customFormat="false" ht="15" hidden="false" customHeight="false" outlineLevel="0" collapsed="false">
      <c r="A81" s="4" t="s">
        <v>56</v>
      </c>
      <c r="B81" s="4" t="n">
        <v>3</v>
      </c>
      <c r="C81" s="34" t="n">
        <f aca="false">INDEX(Inputs!$B$23:$E$23,1,2)</f>
        <v>5</v>
      </c>
      <c r="D81" s="22" t="n">
        <f aca="false">$H$15*($I$15+$I$6)*($J$15+$J$6)*($K$18-($K$15+$K$6))*$L$18</f>
        <v>226304</v>
      </c>
      <c r="E81" s="24" t="n">
        <f aca="false">D81/$H$19</f>
        <v>0.00498078327606231</v>
      </c>
      <c r="F81" s="35" t="n">
        <f aca="false">IF(E81&gt;0,1/E81,"-")</f>
        <v>200.771634615385</v>
      </c>
      <c r="G81" s="23" t="n">
        <f aca="false">C81*E81</f>
        <v>0.0249039163803115</v>
      </c>
    </row>
    <row r="82" customFormat="false" ht="15" hidden="false" customHeight="false" outlineLevel="0" collapsed="false">
      <c r="A82" s="4" t="s">
        <v>56</v>
      </c>
      <c r="B82" s="4" t="n">
        <v>4</v>
      </c>
      <c r="C82" s="34" t="n">
        <f aca="false">INDEX(Inputs!$B$23:$E$23,1,3)</f>
        <v>15</v>
      </c>
      <c r="D82" s="22" t="n">
        <f aca="false">$H$15*($I$15+$I$6)*($J$15+$J$6)*($K$15+$K$6)*($L$18-($L$15+$L$6))</f>
        <v>61440</v>
      </c>
      <c r="E82" s="24" t="n">
        <f aca="false">D82/$H$19</f>
        <v>0.00135224885322959</v>
      </c>
      <c r="F82" s="35" t="n">
        <f aca="false">IF(E82&gt;0,1/E82,"-")</f>
        <v>739.508854166667</v>
      </c>
      <c r="G82" s="23" t="n">
        <f aca="false">C82*E82</f>
        <v>0.0202837327984438</v>
      </c>
    </row>
    <row r="83" customFormat="false" ht="15" hidden="false" customHeight="false" outlineLevel="0" collapsed="false">
      <c r="A83" s="4" t="s">
        <v>56</v>
      </c>
      <c r="B83" s="4" t="n">
        <v>5</v>
      </c>
      <c r="C83" s="34" t="n">
        <f aca="false">INDEX(Inputs!$B$23:$E$23,1,4)</f>
        <v>60</v>
      </c>
      <c r="D83" s="22" t="n">
        <f aca="false">$H$15*($I$15+$I$6)*($J$15+$J$6)*($K$15+$K$6)*($L$15+$L$6)</f>
        <v>8192</v>
      </c>
      <c r="E83" s="24" t="n">
        <f aca="false">D83/$H$19</f>
        <v>0.000180299847097278</v>
      </c>
      <c r="F83" s="35" t="n">
        <f aca="false">IF(E83&gt;0,1/E83,"-")</f>
        <v>5546.31640625</v>
      </c>
      <c r="G83" s="23" t="n">
        <f aca="false">C83*E83</f>
        <v>0.0108179908258367</v>
      </c>
    </row>
    <row r="84" customFormat="false" ht="15" hidden="false" customHeight="false" outlineLevel="0" collapsed="false">
      <c r="A84" s="4" t="s">
        <v>57</v>
      </c>
      <c r="B84" s="4" t="n">
        <v>3</v>
      </c>
      <c r="C84" s="34" t="n">
        <f aca="false">INDEX(Inputs!$B$24:$E$24,1,2)</f>
        <v>4</v>
      </c>
      <c r="D84" s="22" t="n">
        <f aca="false">$H$16*($I$16+$I$6)*($J$16+$J$6)*($K$18-($K$16+$K$6))*$L$18</f>
        <v>226304</v>
      </c>
      <c r="E84" s="24" t="n">
        <f aca="false">D84/$H$19</f>
        <v>0.00498078327606231</v>
      </c>
      <c r="F84" s="35" t="n">
        <f aca="false">IF(E84&gt;0,1/E84,"-")</f>
        <v>200.771634615385</v>
      </c>
      <c r="G84" s="23" t="n">
        <f aca="false">C84*E84</f>
        <v>0.0199231331042492</v>
      </c>
    </row>
    <row r="85" customFormat="false" ht="15" hidden="false" customHeight="false" outlineLevel="0" collapsed="false">
      <c r="A85" s="4" t="s">
        <v>57</v>
      </c>
      <c r="B85" s="4" t="n">
        <v>4</v>
      </c>
      <c r="C85" s="34" t="n">
        <f aca="false">INDEX(Inputs!$B$24:$E$24,1,3)</f>
        <v>10</v>
      </c>
      <c r="D85" s="22" t="n">
        <f aca="false">$H$16*($I$16+$I$6)*($J$16+$J$6)*($K$16+$K$6)*($L$18-($L$16+$L$6))</f>
        <v>61440</v>
      </c>
      <c r="E85" s="24" t="n">
        <f aca="false">D85/$H$19</f>
        <v>0.00135224885322959</v>
      </c>
      <c r="F85" s="35" t="n">
        <f aca="false">IF(E85&gt;0,1/E85,"-")</f>
        <v>739.508854166667</v>
      </c>
      <c r="G85" s="23" t="n">
        <f aca="false">C85*E85</f>
        <v>0.0135224885322959</v>
      </c>
    </row>
    <row r="86" customFormat="false" ht="15" hidden="false" customHeight="false" outlineLevel="0" collapsed="false">
      <c r="A86" s="4" t="s">
        <v>57</v>
      </c>
      <c r="B86" s="4" t="n">
        <v>5</v>
      </c>
      <c r="C86" s="34" t="n">
        <f aca="false">INDEX(Inputs!$B$24:$E$24,1,4)</f>
        <v>50</v>
      </c>
      <c r="D86" s="22" t="n">
        <f aca="false">$H$16*($I$16+$I$6)*($J$16+$J$6)*($K$16+$K$6)*($L$16+$L$6)</f>
        <v>8192</v>
      </c>
      <c r="E86" s="24" t="n">
        <f aca="false">D86/$H$19</f>
        <v>0.000180299847097278</v>
      </c>
      <c r="F86" s="35" t="n">
        <f aca="false">IF(E86&gt;0,1/E86,"-")</f>
        <v>5546.31640625</v>
      </c>
      <c r="G86" s="23" t="n">
        <f aca="false">C86*E86</f>
        <v>0.00901499235486391</v>
      </c>
    </row>
    <row r="87" customFormat="false" ht="15" hidden="false" customHeight="false" outlineLevel="0" collapsed="false">
      <c r="A87" s="4" t="s">
        <v>58</v>
      </c>
      <c r="B87" s="4" t="n">
        <v>3</v>
      </c>
      <c r="C87" s="34" t="n">
        <f aca="false">INDEX(Inputs!$B$25:$E$25,1,2)</f>
        <v>4</v>
      </c>
      <c r="D87" s="22" t="n">
        <f aca="false">$H$17*($I$17+$I$6)*($J$17+$J$6)*($K$18-($K$17+$K$6))*$L$18</f>
        <v>344250</v>
      </c>
      <c r="E87" s="24" t="n">
        <f aca="false">D87/$H$19</f>
        <v>0.00757668730019995</v>
      </c>
      <c r="F87" s="35" t="n">
        <f aca="false">IF(E87&gt;0,1/E87,"-")</f>
        <v>131.983802469136</v>
      </c>
      <c r="G87" s="23" t="n">
        <f aca="false">C87*E87</f>
        <v>0.0303067492007998</v>
      </c>
    </row>
    <row r="88" customFormat="false" ht="15" hidden="false" customHeight="false" outlineLevel="0" collapsed="false">
      <c r="A88" s="4" t="s">
        <v>58</v>
      </c>
      <c r="B88" s="4" t="n">
        <v>4</v>
      </c>
      <c r="C88" s="34" t="n">
        <f aca="false">INDEX(Inputs!$B$25:$E$25,1,3)</f>
        <v>10</v>
      </c>
      <c r="D88" s="22" t="n">
        <f aca="false">$H$17*($I$17+$I$6)*($J$17+$J$6)*($K$17+$K$6)*($L$18-($L$17+$L$6))</f>
        <v>105705</v>
      </c>
      <c r="E88" s="24" t="n">
        <f aca="false">D88/$H$19</f>
        <v>0.00232648868864963</v>
      </c>
      <c r="F88" s="35" t="n">
        <f aca="false">IF(E88&gt;0,1/E88,"-")</f>
        <v>429.832306891822</v>
      </c>
      <c r="G88" s="23" t="n">
        <f aca="false">C88*E88</f>
        <v>0.0232648868864963</v>
      </c>
    </row>
    <row r="89" customFormat="false" ht="15" hidden="false" customHeight="false" outlineLevel="0" collapsed="false">
      <c r="A89" s="4" t="s">
        <v>58</v>
      </c>
      <c r="B89" s="4" t="n">
        <v>5</v>
      </c>
      <c r="C89" s="34" t="n">
        <f aca="false">INDEX(Inputs!$B$25:$E$25,1,4)</f>
        <v>40</v>
      </c>
      <c r="D89" s="22" t="n">
        <f aca="false">$H$17*($I$17+$I$6)*($J$17+$J$6)*($K$17+$K$6)*($L$17+$L$6)</f>
        <v>18225</v>
      </c>
      <c r="E89" s="24" t="n">
        <f aca="false">D89/$H$19</f>
        <v>0.00040111873942235</v>
      </c>
      <c r="F89" s="35" t="n">
        <f aca="false">IF(E89&gt;0,1/E89,"-")</f>
        <v>2493.02737997257</v>
      </c>
      <c r="G89" s="23" t="n">
        <f aca="false">C89*E89</f>
        <v>0.016044749576894</v>
      </c>
    </row>
    <row r="90" customFormat="false" ht="15" hidden="false" customHeight="false" outlineLevel="0" collapsed="false">
      <c r="A90" s="17" t="s">
        <v>175</v>
      </c>
      <c r="G90" s="29" t="n">
        <f aca="false">SUM(G59:G89)</f>
        <v>1.04272168781786</v>
      </c>
    </row>
    <row r="91" customFormat="false" ht="15" hidden="false" customHeight="false" outlineLevel="0" collapsed="false">
      <c r="A91" s="4" t="s">
        <v>177</v>
      </c>
      <c r="G91" s="24" t="n">
        <f aca="false">SUM(E59:E89)</f>
        <v>0.0628434764909424</v>
      </c>
    </row>
    <row r="93" customFormat="false" ht="15" hidden="false" customHeight="false" outlineLevel="0" collapsed="false">
      <c r="A93" s="20" t="s">
        <v>201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</row>
    <row r="94" customFormat="false" ht="15" hidden="false" customHeight="false" outlineLevel="0" collapsed="false">
      <c r="A94" s="3" t="s">
        <v>202</v>
      </c>
      <c r="B94" s="3" t="s">
        <v>203</v>
      </c>
      <c r="C94" s="3" t="s">
        <v>204</v>
      </c>
      <c r="D94" s="3" t="s">
        <v>205</v>
      </c>
      <c r="E94" s="3" t="s">
        <v>206</v>
      </c>
      <c r="F94" s="3" t="s">
        <v>207</v>
      </c>
      <c r="G94" s="3" t="s">
        <v>208</v>
      </c>
      <c r="H94" s="3" t="s">
        <v>209</v>
      </c>
      <c r="I94" s="3" t="s">
        <v>210</v>
      </c>
      <c r="J94" s="3" t="s">
        <v>211</v>
      </c>
    </row>
    <row r="95" customFormat="false" ht="15" hidden="false" customHeight="false" outlineLevel="0" collapsed="false">
      <c r="A95" s="4" t="s">
        <v>212</v>
      </c>
      <c r="E95" s="15" t="n">
        <v>1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</row>
    <row r="96" customFormat="false" ht="15" hidden="false" customHeight="false" outlineLevel="0" collapsed="false">
      <c r="A96" s="4" t="n">
        <v>1</v>
      </c>
      <c r="B96" s="22" t="n">
        <f aca="false">$B$7</f>
        <v>1</v>
      </c>
      <c r="C96" s="22" t="n">
        <f aca="false">$B$18</f>
        <v>40</v>
      </c>
      <c r="D96" s="24" t="n">
        <f aca="false">Inputs!$B$6*B96/C96</f>
        <v>0.075</v>
      </c>
      <c r="E96" s="24" t="n">
        <f aca="false">E95*(1-$D96)</f>
        <v>0.925</v>
      </c>
      <c r="F96" s="24" t="n">
        <f aca="false">F95*(1-$D96)+E95*$D96</f>
        <v>0.075</v>
      </c>
      <c r="G96" s="24" t="n">
        <f aca="false">G95*(1-$D96)+F95*$D96</f>
        <v>0</v>
      </c>
      <c r="H96" s="24" t="n">
        <f aca="false">H95*(1-$D96)+G95*$D96</f>
        <v>0</v>
      </c>
      <c r="I96" s="24" t="n">
        <f aca="false">I95*(1-$D96)+H95*$D96</f>
        <v>0</v>
      </c>
      <c r="J96" s="24" t="n">
        <f aca="false">J95*(1-$D96)+I95*$D96</f>
        <v>0</v>
      </c>
    </row>
    <row r="97" customFormat="false" ht="15" hidden="false" customHeight="false" outlineLevel="0" collapsed="false">
      <c r="A97" s="4" t="n">
        <v>2</v>
      </c>
      <c r="B97" s="22" t="n">
        <f aca="false">$C$7</f>
        <v>2</v>
      </c>
      <c r="C97" s="22" t="n">
        <f aca="false">$C$18</f>
        <v>42</v>
      </c>
      <c r="D97" s="24" t="n">
        <f aca="false">Inputs!$B$6*B97/C97</f>
        <v>0.142857142857143</v>
      </c>
      <c r="E97" s="24" t="n">
        <f aca="false">E96*(1-$D97)</f>
        <v>0.792857142857143</v>
      </c>
      <c r="F97" s="24" t="n">
        <f aca="false">F96*(1-$D97)+E96*$D97</f>
        <v>0.196428571428571</v>
      </c>
      <c r="G97" s="24" t="n">
        <f aca="false">G96*(1-$D97)+F96*$D97</f>
        <v>0.0107142857142857</v>
      </c>
      <c r="H97" s="24" t="n">
        <f aca="false">H96*(1-$D97)+G96*$D97</f>
        <v>0</v>
      </c>
      <c r="I97" s="24" t="n">
        <f aca="false">I96*(1-$D97)+H96*$D97</f>
        <v>0</v>
      </c>
      <c r="J97" s="24" t="n">
        <f aca="false">J96*(1-$D97)+I96*$D97</f>
        <v>0</v>
      </c>
    </row>
    <row r="98" customFormat="false" ht="15" hidden="false" customHeight="false" outlineLevel="0" collapsed="false">
      <c r="A98" s="4" t="n">
        <v>3</v>
      </c>
      <c r="B98" s="22" t="n">
        <f aca="false">$D$7</f>
        <v>1</v>
      </c>
      <c r="C98" s="22" t="n">
        <f aca="false">$D$18</f>
        <v>42</v>
      </c>
      <c r="D98" s="24" t="n">
        <f aca="false">Inputs!$B$6*B98/C98</f>
        <v>0.0714285714285714</v>
      </c>
      <c r="E98" s="24" t="n">
        <f aca="false">E97*(1-$D98)</f>
        <v>0.736224489795919</v>
      </c>
      <c r="F98" s="24" t="n">
        <f aca="false">F97*(1-$D98)+E97*$D98</f>
        <v>0.239030612244898</v>
      </c>
      <c r="G98" s="24" t="n">
        <f aca="false">G97*(1-$D98)+F97*$D98</f>
        <v>0.0239795918367347</v>
      </c>
      <c r="H98" s="24" t="n">
        <f aca="false">H97*(1-$D98)+G97*$D98</f>
        <v>0.000765306122448979</v>
      </c>
      <c r="I98" s="24" t="n">
        <f aca="false">I97*(1-$D98)+H97*$D98</f>
        <v>0</v>
      </c>
      <c r="J98" s="24" t="n">
        <f aca="false">J97*(1-$D98)+I97*$D98</f>
        <v>0</v>
      </c>
    </row>
    <row r="99" customFormat="false" ht="15" hidden="false" customHeight="false" outlineLevel="0" collapsed="false">
      <c r="A99" s="4" t="n">
        <v>4</v>
      </c>
      <c r="B99" s="22" t="n">
        <f aca="false">$E$7</f>
        <v>2</v>
      </c>
      <c r="C99" s="22" t="n">
        <f aca="false">$E$18</f>
        <v>41</v>
      </c>
      <c r="D99" s="24" t="n">
        <f aca="false">Inputs!$B$6*B99/C99</f>
        <v>0.146341463414634</v>
      </c>
      <c r="E99" s="24" t="n">
        <f aca="false">E98*(1-$D99)</f>
        <v>0.628484320557491</v>
      </c>
      <c r="F99" s="24" t="n">
        <f aca="false">F98*(1-$D99)+E98*$D99</f>
        <v>0.311790691886511</v>
      </c>
      <c r="G99" s="24" t="n">
        <f aca="false">G98*(1-$D99)+F98*$D99</f>
        <v>0.0554504728720757</v>
      </c>
      <c r="H99" s="24" t="n">
        <f aca="false">H98*(1-$D99)+G98*$D99</f>
        <v>0.00416251866600299</v>
      </c>
      <c r="I99" s="24" t="n">
        <f aca="false">I98*(1-$D99)+H98*$D99</f>
        <v>0.000111996017919363</v>
      </c>
      <c r="J99" s="24" t="n">
        <f aca="false">J98*(1-$D99)+I98*$D99</f>
        <v>0</v>
      </c>
    </row>
    <row r="100" customFormat="false" ht="15" hidden="false" customHeight="false" outlineLevel="0" collapsed="false">
      <c r="A100" s="4" t="n">
        <v>5</v>
      </c>
      <c r="B100" s="22" t="n">
        <f aca="false">$F$7</f>
        <v>1</v>
      </c>
      <c r="C100" s="22" t="n">
        <f aca="false">$F$18</f>
        <v>40</v>
      </c>
      <c r="D100" s="24" t="n">
        <f aca="false">Inputs!$B$6*B100/C100</f>
        <v>0.075</v>
      </c>
      <c r="E100" s="24" t="n">
        <f aca="false">E99*(1-$D100)</f>
        <v>0.58134799651568</v>
      </c>
      <c r="F100" s="24" t="n">
        <f aca="false">F99*(1-$D100)+E99*$D100</f>
        <v>0.335542714036834</v>
      </c>
      <c r="G100" s="24" t="n">
        <f aca="false">G99*(1-$D100)+F99*$D100</f>
        <v>0.0746759892981583</v>
      </c>
      <c r="H100" s="24" t="n">
        <f aca="false">H99*(1-$D100)+G99*$D100</f>
        <v>0.00800911523145844</v>
      </c>
      <c r="I100" s="24" t="n">
        <f aca="false">I99*(1-$D100)+H99*$D100</f>
        <v>0.000415785216525635</v>
      </c>
      <c r="J100" s="24" t="n">
        <f aca="false">J99*(1-$D100)+I99*$D100</f>
        <v>8.39970134395221E-006</v>
      </c>
    </row>
    <row r="101" customFormat="false" ht="15" hidden="false" customHeight="false" outlineLevel="0" collapsed="false">
      <c r="A101" s="4" t="s">
        <v>213</v>
      </c>
      <c r="E101" s="34" t="n">
        <f aca="false">Inputs!$B$29</f>
        <v>0</v>
      </c>
      <c r="F101" s="34" t="n">
        <f aca="false">Inputs!$B$30</f>
        <v>0</v>
      </c>
      <c r="G101" s="34" t="n">
        <f aca="false">Inputs!$B$31</f>
        <v>0</v>
      </c>
      <c r="H101" s="34" t="n">
        <f aca="false">Inputs!$B$32</f>
        <v>2</v>
      </c>
      <c r="I101" s="34" t="n">
        <f aca="false">Inputs!$B$33</f>
        <v>10</v>
      </c>
      <c r="J101" s="34" t="n">
        <f aca="false">Inputs!$B$34</f>
        <v>100</v>
      </c>
    </row>
    <row r="102" customFormat="false" ht="15" hidden="false" customHeight="false" outlineLevel="0" collapsed="false">
      <c r="A102" s="17" t="s">
        <v>214</v>
      </c>
      <c r="E102" s="29" t="n">
        <f aca="false">SUMPRODUCT(E100:J100,E101:J101)</f>
        <v>0.0210160527625684</v>
      </c>
    </row>
    <row r="103" customFormat="false" ht="15" hidden="false" customHeight="false" outlineLevel="0" collapsed="false">
      <c r="A103" s="17" t="s">
        <v>215</v>
      </c>
      <c r="E103" s="42" t="n">
        <f aca="false">SUM(H100:J100)</f>
        <v>0.00843330014932803</v>
      </c>
      <c r="F103" s="43" t="n">
        <f aca="false">1/E103</f>
        <v>118.577541685111</v>
      </c>
    </row>
    <row r="104" customFormat="false" ht="15" hidden="false" customHeight="false" outlineLevel="0" collapsed="false">
      <c r="A104" s="2" t="s">
        <v>216</v>
      </c>
    </row>
    <row r="106" customFormat="false" ht="15" hidden="false" customHeight="false" outlineLevel="0" collapsed="false">
      <c r="A106" s="20" t="s">
        <v>217</v>
      </c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</row>
    <row r="107" customFormat="false" ht="15" hidden="false" customHeight="false" outlineLevel="0" collapsed="false">
      <c r="A107" s="3" t="s">
        <v>202</v>
      </c>
      <c r="B107" s="3" t="s">
        <v>203</v>
      </c>
      <c r="C107" s="3" t="s">
        <v>204</v>
      </c>
      <c r="D107" s="3" t="s">
        <v>205</v>
      </c>
      <c r="E107" s="3" t="s">
        <v>206</v>
      </c>
      <c r="F107" s="3" t="s">
        <v>207</v>
      </c>
      <c r="G107" s="3" t="s">
        <v>208</v>
      </c>
      <c r="H107" s="3" t="s">
        <v>209</v>
      </c>
      <c r="I107" s="3" t="s">
        <v>210</v>
      </c>
      <c r="J107" s="3" t="s">
        <v>211</v>
      </c>
    </row>
    <row r="108" customFormat="false" ht="15" hidden="false" customHeight="false" outlineLevel="0" collapsed="false">
      <c r="A108" s="4" t="s">
        <v>212</v>
      </c>
      <c r="E108" s="15" t="n">
        <v>1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0</v>
      </c>
    </row>
    <row r="109" customFormat="false" ht="15" hidden="false" customHeight="false" outlineLevel="0" collapsed="false">
      <c r="A109" s="4" t="n">
        <v>1</v>
      </c>
      <c r="B109" s="22" t="n">
        <f aca="false">$H$7</f>
        <v>1</v>
      </c>
      <c r="C109" s="22" t="n">
        <f aca="false">$H$18</f>
        <v>34</v>
      </c>
      <c r="D109" s="24" t="n">
        <f aca="false">Inputs!$B$6*B109/C109</f>
        <v>0.0882352941176471</v>
      </c>
      <c r="E109" s="24" t="n">
        <f aca="false">E108*(1-$D109)</f>
        <v>0.911764705882353</v>
      </c>
      <c r="F109" s="24" t="n">
        <f aca="false">F108*(1-$D109)+E108*$D109</f>
        <v>0.0882352941176471</v>
      </c>
      <c r="G109" s="24" t="n">
        <f aca="false">G108*(1-$D109)+F108*$D109</f>
        <v>0</v>
      </c>
      <c r="H109" s="24" t="n">
        <f aca="false">H108*(1-$D109)+G108*$D109</f>
        <v>0</v>
      </c>
      <c r="I109" s="24" t="n">
        <f aca="false">I108*(1-$D109)+H108*$D109</f>
        <v>0</v>
      </c>
      <c r="J109" s="24" t="n">
        <f aca="false">J108*(1-$D109)+I108*$D109</f>
        <v>0</v>
      </c>
    </row>
    <row r="110" customFormat="false" ht="15" hidden="false" customHeight="false" outlineLevel="0" collapsed="false">
      <c r="A110" s="4" t="n">
        <v>2</v>
      </c>
      <c r="B110" s="22" t="n">
        <f aca="false">$I$7</f>
        <v>1</v>
      </c>
      <c r="C110" s="22" t="n">
        <f aca="false">$I$18</f>
        <v>34</v>
      </c>
      <c r="D110" s="24" t="n">
        <f aca="false">Inputs!$B$6*B110/C110</f>
        <v>0.0882352941176471</v>
      </c>
      <c r="E110" s="24" t="n">
        <f aca="false">E109*(1-$D110)</f>
        <v>0.831314878892734</v>
      </c>
      <c r="F110" s="24" t="n">
        <f aca="false">F109*(1-$D110)+E109*$D110</f>
        <v>0.160899653979239</v>
      </c>
      <c r="G110" s="24" t="n">
        <f aca="false">G109*(1-$D110)+F109*$D110</f>
        <v>0.00778546712802768</v>
      </c>
      <c r="H110" s="24" t="n">
        <f aca="false">H109*(1-$D110)+G109*$D110</f>
        <v>0</v>
      </c>
      <c r="I110" s="24" t="n">
        <f aca="false">I109*(1-$D110)+H109*$D110</f>
        <v>0</v>
      </c>
      <c r="J110" s="24" t="n">
        <f aca="false">J109*(1-$D110)+I109*$D110</f>
        <v>0</v>
      </c>
    </row>
    <row r="111" customFormat="false" ht="15" hidden="false" customHeight="false" outlineLevel="0" collapsed="false">
      <c r="A111" s="4" t="n">
        <v>3</v>
      </c>
      <c r="B111" s="22" t="n">
        <f aca="false">$J$7</f>
        <v>1</v>
      </c>
      <c r="C111" s="22" t="n">
        <f aca="false">$J$18</f>
        <v>34</v>
      </c>
      <c r="D111" s="24" t="n">
        <f aca="false">Inputs!$B$6*B111/C111</f>
        <v>0.0882352941176471</v>
      </c>
      <c r="E111" s="24" t="n">
        <f aca="false">E110*(1-$D111)</f>
        <v>0.757963566049257</v>
      </c>
      <c r="F111" s="24" t="n">
        <f aca="false">F110*(1-$D111)+E110*$D111</f>
        <v>0.220053938530429</v>
      </c>
      <c r="G111" s="24" t="n">
        <f aca="false">G110*(1-$D111)+F110*$D111</f>
        <v>0.0212955424384287</v>
      </c>
      <c r="H111" s="24" t="n">
        <f aca="false">H110*(1-$D111)+G110*$D111</f>
        <v>0.000686952981884796</v>
      </c>
      <c r="I111" s="24" t="n">
        <f aca="false">I110*(1-$D111)+H110*$D111</f>
        <v>0</v>
      </c>
      <c r="J111" s="24" t="n">
        <f aca="false">J110*(1-$D111)+I110*$D111</f>
        <v>0</v>
      </c>
    </row>
    <row r="112" customFormat="false" ht="15" hidden="false" customHeight="false" outlineLevel="0" collapsed="false">
      <c r="A112" s="4" t="n">
        <v>4</v>
      </c>
      <c r="B112" s="22" t="n">
        <f aca="false">$K$7</f>
        <v>1</v>
      </c>
      <c r="C112" s="22" t="n">
        <f aca="false">$K$18</f>
        <v>34</v>
      </c>
      <c r="D112" s="24" t="n">
        <f aca="false">Inputs!$B$6*B112/C112</f>
        <v>0.0882352941176471</v>
      </c>
      <c r="E112" s="24" t="n">
        <f aca="false">E111*(1-$D112)</f>
        <v>0.69108442786844</v>
      </c>
      <c r="F112" s="24" t="n">
        <f aca="false">F111*(1-$D112)+E111*$D112</f>
        <v>0.267516552723267</v>
      </c>
      <c r="G112" s="24" t="n">
        <f aca="false">G111*(1-$D112)+F111*$D112</f>
        <v>0.0388330479759581</v>
      </c>
      <c r="H112" s="24" t="n">
        <f aca="false">H111*(1-$D112)+G111*$D112</f>
        <v>0.00250535793393278</v>
      </c>
      <c r="I112" s="24" t="n">
        <f aca="false">I111*(1-$D112)+H111*$D112</f>
        <v>6.06134984015996E-005</v>
      </c>
      <c r="J112" s="24" t="n">
        <f aca="false">J111*(1-$D112)+I111*$D112</f>
        <v>0</v>
      </c>
    </row>
    <row r="113" customFormat="false" ht="15" hidden="false" customHeight="false" outlineLevel="0" collapsed="false">
      <c r="A113" s="4" t="n">
        <v>5</v>
      </c>
      <c r="B113" s="22" t="n">
        <f aca="false">$L$7</f>
        <v>1</v>
      </c>
      <c r="C113" s="22" t="n">
        <f aca="false">$L$18</f>
        <v>34</v>
      </c>
      <c r="D113" s="24" t="n">
        <f aca="false">Inputs!$B$6*B113/C113</f>
        <v>0.0882352941176471</v>
      </c>
      <c r="E113" s="24" t="n">
        <f aca="false">E112*(1-$D113)</f>
        <v>0.630106390115343</v>
      </c>
      <c r="F113" s="24" t="n">
        <f aca="false">F112*(1-$D113)+E112*$D113</f>
        <v>0.304890188765488</v>
      </c>
      <c r="G113" s="24" t="n">
        <f aca="false">G112*(1-$D113)+F112*$D113</f>
        <v>0.0590110042771913</v>
      </c>
      <c r="H113" s="24" t="n">
        <f aca="false">H112*(1-$D113)+G112*$D113</f>
        <v>0.00571074234940561</v>
      </c>
      <c r="I113" s="24" t="n">
        <f aca="false">I112*(1-$D113)+H112*$D113</f>
        <v>0.000276326242713175</v>
      </c>
      <c r="J113" s="24" t="n">
        <f aca="false">J112*(1-$D113)+I112*$D113</f>
        <v>5.34824985896467E-006</v>
      </c>
    </row>
    <row r="114" customFormat="false" ht="15" hidden="false" customHeight="false" outlineLevel="0" collapsed="false">
      <c r="A114" s="4" t="s">
        <v>213</v>
      </c>
      <c r="E114" s="34" t="n">
        <f aca="false">Inputs!$B$29</f>
        <v>0</v>
      </c>
      <c r="F114" s="34" t="n">
        <f aca="false">Inputs!$B$30</f>
        <v>0</v>
      </c>
      <c r="G114" s="34" t="n">
        <f aca="false">Inputs!$B$31</f>
        <v>0</v>
      </c>
      <c r="H114" s="34" t="n">
        <f aca="false">Inputs!$B$32</f>
        <v>2</v>
      </c>
      <c r="I114" s="34" t="n">
        <f aca="false">Inputs!$B$33</f>
        <v>10</v>
      </c>
      <c r="J114" s="34" t="n">
        <f aca="false">Inputs!$B$34</f>
        <v>100</v>
      </c>
    </row>
    <row r="115" customFormat="false" ht="15" hidden="false" customHeight="false" outlineLevel="0" collapsed="false">
      <c r="A115" s="17" t="s">
        <v>214</v>
      </c>
      <c r="E115" s="29" t="n">
        <f aca="false">SUMPRODUCT(E113:J113,E114:J114)</f>
        <v>0.0147195721118394</v>
      </c>
    </row>
    <row r="116" customFormat="false" ht="15" hidden="false" customHeight="false" outlineLevel="0" collapsed="false">
      <c r="A116" s="17" t="s">
        <v>215</v>
      </c>
      <c r="E116" s="42" t="n">
        <f aca="false">SUM(H113:J113)</f>
        <v>0.00599241684197775</v>
      </c>
      <c r="F116" s="43" t="n">
        <f aca="false">1/E116</f>
        <v>166.877576505502</v>
      </c>
    </row>
    <row r="117" customFormat="false" ht="15" hidden="false" customHeight="false" outlineLevel="0" collapsed="false">
      <c r="A117" s="2" t="s">
        <v>216</v>
      </c>
    </row>
    <row r="119" customFormat="false" ht="15" hidden="false" customHeight="false" outlineLevel="0" collapsed="false">
      <c r="A119" s="20" t="s">
        <v>218</v>
      </c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</row>
    <row r="120" customFormat="false" ht="35.05" hidden="false" customHeight="false" outlineLevel="0" collapsed="false">
      <c r="A120" s="3" t="s">
        <v>219</v>
      </c>
      <c r="B120" s="3" t="s">
        <v>220</v>
      </c>
      <c r="C120" s="3" t="s">
        <v>221</v>
      </c>
      <c r="D120" s="3" t="s">
        <v>222</v>
      </c>
      <c r="E120" s="3" t="s">
        <v>223</v>
      </c>
      <c r="F120" s="3" t="s">
        <v>224</v>
      </c>
      <c r="G120" s="3" t="s">
        <v>225</v>
      </c>
    </row>
    <row r="121" customFormat="false" ht="15" hidden="false" customHeight="false" outlineLevel="0" collapsed="false">
      <c r="A121" s="4" t="n">
        <v>0</v>
      </c>
      <c r="B121" s="15" t="n">
        <v>1</v>
      </c>
      <c r="C121" s="15" t="n">
        <v>0</v>
      </c>
      <c r="D121" s="15" t="n">
        <v>0</v>
      </c>
      <c r="E121" s="15" t="n">
        <v>0</v>
      </c>
      <c r="F121" s="15" t="n">
        <v>0</v>
      </c>
      <c r="G121" s="24" t="n">
        <f aca="false">IF($A121&lt;Inputs!$B$9*(1+0),B121,0)+IF($A121&lt;Inputs!$B$9*(1+1),C121,0)+IF($A121&lt;Inputs!$B$9*(1+2),D121,0)+IF($A121&lt;Inputs!$B$9*(1+3),E121,0)+IF($A121&lt;Inputs!$B$9*(1+4),F121,0)</f>
        <v>1</v>
      </c>
    </row>
    <row r="122" customFormat="false" ht="15" hidden="false" customHeight="false" outlineLevel="0" collapsed="false">
      <c r="A122" s="4" t="n">
        <v>1</v>
      </c>
      <c r="B122" s="24" t="n">
        <f aca="false">IF(($A121&lt;Inputs!$B$9*(1+0)),B121*(1-$E$116),B121)</f>
        <v>0.994007583158022</v>
      </c>
      <c r="C122" s="24" t="n">
        <f aca="false">IF(($A121&lt;Inputs!$B$9*(1+1)),C121*(1-$E$116),C121)+IF($A121&lt;Inputs!$B$9*1,B121*$E$116,0)</f>
        <v>0.00599241684197775</v>
      </c>
      <c r="D122" s="24" t="n">
        <f aca="false">IF(($A121&lt;Inputs!$B$9*(1+2)),D121*(1-$E$116),D121)+IF($A121&lt;Inputs!$B$9*2,C121*$E$116,0)</f>
        <v>0</v>
      </c>
      <c r="E122" s="24" t="n">
        <f aca="false">IF(($A121&lt;Inputs!$B$9*(1+3)),E121*(1-$E$116),E121)+IF($A121&lt;Inputs!$B$9*3,D121*$E$116,0)</f>
        <v>0</v>
      </c>
      <c r="F122" s="24" t="n">
        <f aca="false">IF(($A121&lt;Inputs!$B$9*(1+4)),F121*(1-$E$116),F121)+IF($A121&lt;Inputs!$B$9*4,E121*$E$116,0)+IF(($A121&lt;Inputs!$B$9*(1+4)),F121*$E$116,0)</f>
        <v>0</v>
      </c>
      <c r="G122" s="24" t="n">
        <f aca="false">IF($A122&lt;Inputs!$B$9*(1+0),B122,0)+IF($A122&lt;Inputs!$B$9*(1+1),C122,0)+IF($A122&lt;Inputs!$B$9*(1+2),D122,0)+IF($A122&lt;Inputs!$B$9*(1+3),E122,0)+IF($A122&lt;Inputs!$B$9*(1+4),F122,0)</f>
        <v>1</v>
      </c>
    </row>
    <row r="123" customFormat="false" ht="15" hidden="false" customHeight="false" outlineLevel="0" collapsed="false">
      <c r="A123" s="4" t="n">
        <v>2</v>
      </c>
      <c r="B123" s="24" t="n">
        <f aca="false">IF(($A122&lt;Inputs!$B$9*(1+0)),B122*(1-$E$116),B122)</f>
        <v>0.988051075375653</v>
      </c>
      <c r="C123" s="24" t="n">
        <f aca="false">IF(($A122&lt;Inputs!$B$9*(1+1)),C122*(1-$E$116),C122)+IF($A122&lt;Inputs!$B$9*1,B122*$E$116,0)</f>
        <v>0.0119130155647395</v>
      </c>
      <c r="D123" s="24" t="n">
        <f aca="false">IF(($A122&lt;Inputs!$B$9*(1+2)),D122*(1-$E$116),D122)+IF($A122&lt;Inputs!$B$9*2,C122*$E$116,0)</f>
        <v>3.59090596080186E-005</v>
      </c>
      <c r="E123" s="24" t="n">
        <f aca="false">IF(($A122&lt;Inputs!$B$9*(1+3)),E122*(1-$E$116),E122)+IF($A122&lt;Inputs!$B$9*3,D122*$E$116,0)</f>
        <v>0</v>
      </c>
      <c r="F123" s="24" t="n">
        <f aca="false">IF(($A122&lt;Inputs!$B$9*(1+4)),F122*(1-$E$116),F122)+IF($A122&lt;Inputs!$B$9*4,E122*$E$116,0)+IF(($A122&lt;Inputs!$B$9*(1+4)),F122*$E$116,0)</f>
        <v>0</v>
      </c>
      <c r="G123" s="24" t="n">
        <f aca="false">IF($A123&lt;Inputs!$B$9*(1+0),B123,0)+IF($A123&lt;Inputs!$B$9*(1+1),C123,0)+IF($A123&lt;Inputs!$B$9*(1+2),D123,0)+IF($A123&lt;Inputs!$B$9*(1+3),E123,0)+IF($A123&lt;Inputs!$B$9*(1+4),F123,0)</f>
        <v>1</v>
      </c>
    </row>
    <row r="124" customFormat="false" ht="15" hidden="false" customHeight="false" outlineLevel="0" collapsed="false">
      <c r="A124" s="4" t="n">
        <v>3</v>
      </c>
      <c r="B124" s="24" t="n">
        <f aca="false">IF(($A123&lt;Inputs!$B$9*(1+0)),B123*(1-$E$116),B123)</f>
        <v>0.982130261470837</v>
      </c>
      <c r="C124" s="24" t="n">
        <f aca="false">IF(($A123&lt;Inputs!$B$9*(1+1)),C123*(1-$E$116),C123)+IF($A123&lt;Inputs!$B$9*1,B123*$E$116,0)</f>
        <v>0.0177624417144459</v>
      </c>
      <c r="D124" s="24" t="n">
        <f aca="false">IF(($A123&lt;Inputs!$B$9*(1+2)),D123*(1-$E$116),D123)+IF($A123&lt;Inputs!$B$9*2,C123*$E$116,0)</f>
        <v>0.000107081632663332</v>
      </c>
      <c r="E124" s="24" t="n">
        <f aca="false">IF(($A123&lt;Inputs!$B$9*(1+3)),E123*(1-$E$116),E123)+IF($A123&lt;Inputs!$B$9*3,D123*$E$116,0)</f>
        <v>2.15182053574673E-007</v>
      </c>
      <c r="F124" s="24" t="n">
        <f aca="false">IF(($A123&lt;Inputs!$B$9*(1+4)),F123*(1-$E$116),F123)+IF($A123&lt;Inputs!$B$9*4,E123*$E$116,0)+IF(($A123&lt;Inputs!$B$9*(1+4)),F123*$E$116,0)</f>
        <v>0</v>
      </c>
      <c r="G124" s="24" t="n">
        <f aca="false">IF($A124&lt;Inputs!$B$9*(1+0),B124,0)+IF($A124&lt;Inputs!$B$9*(1+1),C124,0)+IF($A124&lt;Inputs!$B$9*(1+2),D124,0)+IF($A124&lt;Inputs!$B$9*(1+3),E124,0)+IF($A124&lt;Inputs!$B$9*(1+4),F124,0)</f>
        <v>1</v>
      </c>
    </row>
    <row r="125" customFormat="false" ht="15" hidden="false" customHeight="false" outlineLevel="0" collapsed="false">
      <c r="A125" s="4" t="n">
        <v>4</v>
      </c>
      <c r="B125" s="24" t="n">
        <f aca="false">IF(($A124&lt;Inputs!$B$9*(1+0)),B124*(1-$E$116),B124)</f>
        <v>0.976244927550984</v>
      </c>
      <c r="C125" s="24" t="n">
        <f aca="false">IF(($A124&lt;Inputs!$B$9*(1+1)),C124*(1-$E$116),C124)+IF($A124&lt;Inputs!$B$9*1,B124*$E$116,0)</f>
        <v>0.0235413356794154</v>
      </c>
      <c r="D125" s="24" t="n">
        <f aca="false">IF(($A124&lt;Inputs!$B$9*(1+2)),D124*(1-$E$116),D124)+IF($A124&lt;Inputs!$B$9*2,C124*$E$116,0)</f>
        <v>0.000212879909768587</v>
      </c>
      <c r="E125" s="24" t="n">
        <f aca="false">IF(($A124&lt;Inputs!$B$9*(1+3)),E124*(1-$E$116),E124)+IF($A124&lt;Inputs!$B$9*3,D124*$E$116,0)</f>
        <v>8.55570372050965E-007</v>
      </c>
      <c r="F125" s="24" t="n">
        <f aca="false">IF(($A124&lt;Inputs!$B$9*(1+4)),F124*(1-$E$116),F124)+IF($A124&lt;Inputs!$B$9*4,E124*$E$116,0)+IF(($A124&lt;Inputs!$B$9*(1+4)),F124*$E$116,0)</f>
        <v>1.28946056193223E-009</v>
      </c>
      <c r="G125" s="24" t="n">
        <f aca="false">IF($A125&lt;Inputs!$B$9*(1+0),B125,0)+IF($A125&lt;Inputs!$B$9*(1+1),C125,0)+IF($A125&lt;Inputs!$B$9*(1+2),D125,0)+IF($A125&lt;Inputs!$B$9*(1+3),E125,0)+IF($A125&lt;Inputs!$B$9*(1+4),F125,0)</f>
        <v>1</v>
      </c>
    </row>
    <row r="126" customFormat="false" ht="15" hidden="false" customHeight="false" outlineLevel="0" collapsed="false">
      <c r="A126" s="4" t="n">
        <v>5</v>
      </c>
      <c r="B126" s="24" t="n">
        <f aca="false">IF(($A125&lt;Inputs!$B$9*(1+0)),B125*(1-$E$116),B125)</f>
        <v>0.970394861005232</v>
      </c>
      <c r="C126" s="24" t="n">
        <f aca="false">IF(($A125&lt;Inputs!$B$9*(1+1)),C125*(1-$E$116),C125)+IF($A125&lt;Inputs!$B$9*1,B125*$E$116,0)</f>
        <v>0.0292503327287593</v>
      </c>
      <c r="D126" s="24" t="n">
        <f aca="false">IF(($A125&lt;Inputs!$B$9*(1+2)),D125*(1-$E$116),D125)+IF($A125&lt;Inputs!$B$9*2,C125*$E$116,0)</f>
        <v>0.000352673741019952</v>
      </c>
      <c r="E126" s="24" t="n">
        <f aca="false">IF(($A125&lt;Inputs!$B$9*(1+3)),E125*(1-$E$116),E125)+IF($A125&lt;Inputs!$B$9*3,D125*$E$116,0)</f>
        <v>2.12610859435997E-006</v>
      </c>
      <c r="F126" s="24" t="n">
        <f aca="false">IF(($A125&lt;Inputs!$B$9*(1+4)),F125*(1-$E$116),F125)+IF($A125&lt;Inputs!$B$9*4,E125*$E$116,0)+IF(($A125&lt;Inputs!$B$9*(1+4)),F125*$E$116,0)</f>
        <v>6.4163948689076E-009</v>
      </c>
      <c r="G126" s="24" t="n">
        <f aca="false">IF($A126&lt;Inputs!$B$9*(1+0),B126,0)+IF($A126&lt;Inputs!$B$9*(1+1),C126,0)+IF($A126&lt;Inputs!$B$9*(1+2),D126,0)+IF($A126&lt;Inputs!$B$9*(1+3),E126,0)+IF($A126&lt;Inputs!$B$9*(1+4),F126,0)</f>
        <v>1</v>
      </c>
    </row>
    <row r="127" customFormat="false" ht="15" hidden="false" customHeight="false" outlineLevel="0" collapsed="false">
      <c r="A127" s="4" t="n">
        <v>6</v>
      </c>
      <c r="B127" s="24" t="n">
        <f aca="false">IF(($A126&lt;Inputs!$B$9*(1+0)),B126*(1-$E$116),B126)</f>
        <v>0.964579850496775</v>
      </c>
      <c r="C127" s="24" t="n">
        <f aca="false">IF(($A126&lt;Inputs!$B$9*(1+1)),C126*(1-$E$116),C126)+IF($A126&lt;Inputs!$B$9*1,B126*$E$116,0)</f>
        <v>0.0348900630507384</v>
      </c>
      <c r="D127" s="24" t="n">
        <f aca="false">IF(($A126&lt;Inputs!$B$9*(1+2)),D126*(1-$E$116),D126)+IF($A126&lt;Inputs!$B$9*2,C126*$E$116,0)</f>
        <v>0.000525840559431811</v>
      </c>
      <c r="E127" s="24" t="n">
        <f aca="false">IF(($A126&lt;Inputs!$B$9*(1+3)),E126*(1-$E$116),E126)+IF($A126&lt;Inputs!$B$9*3,D126*$E$116,0)</f>
        <v>4.22673613082252E-006</v>
      </c>
      <c r="F127" s="24" t="n">
        <f aca="false">IF(($A126&lt;Inputs!$B$9*(1+4)),F126*(1-$E$116),F126)+IF($A126&lt;Inputs!$B$9*4,E126*$E$116,0)+IF(($A126&lt;Inputs!$B$9*(1+4)),F126*$E$116,0)</f>
        <v>1.9156923817624E-008</v>
      </c>
      <c r="G127" s="24" t="n">
        <f aca="false">IF($A127&lt;Inputs!$B$9*(1+0),B127,0)+IF($A127&lt;Inputs!$B$9*(1+1),C127,0)+IF($A127&lt;Inputs!$B$9*(1+2),D127,0)+IF($A127&lt;Inputs!$B$9*(1+3),E127,0)+IF($A127&lt;Inputs!$B$9*(1+4),F127,0)</f>
        <v>1</v>
      </c>
    </row>
    <row r="128" customFormat="false" ht="15" hidden="false" customHeight="false" outlineLevel="0" collapsed="false">
      <c r="A128" s="4" t="n">
        <v>7</v>
      </c>
      <c r="B128" s="24" t="n">
        <f aca="false">IF(($A127&lt;Inputs!$B$9*(1+0)),B127*(1-$E$116),B127)</f>
        <v>0.958799685955226</v>
      </c>
      <c r="C128" s="24" t="n">
        <f aca="false">IF(($A127&lt;Inputs!$B$9*(1+1)),C127*(1-$E$116),C127)+IF($A127&lt;Inputs!$B$9*1,B127*$E$116,0)</f>
        <v>0.0404611517908448</v>
      </c>
      <c r="D128" s="24" t="n">
        <f aca="false">IF(($A127&lt;Inputs!$B$9*(1+2)),D127*(1-$E$116),D127)+IF($A127&lt;Inputs!$B$9*2,C127*$E$116,0)</f>
        <v>0.000731765305050187</v>
      </c>
      <c r="E128" s="24" t="n">
        <f aca="false">IF(($A127&lt;Inputs!$B$9*(1+3)),E127*(1-$E$116),E127)+IF($A127&lt;Inputs!$B$9*3,D127*$E$116,0)</f>
        <v>7.35246359057976E-006</v>
      </c>
      <c r="F128" s="24" t="n">
        <f aca="false">IF(($A127&lt;Inputs!$B$9*(1+4)),F127*(1-$E$116),F127)+IF($A127&lt;Inputs!$B$9*4,E127*$E$116,0)+IF(($A127&lt;Inputs!$B$9*(1+4)),F127*$E$116,0)</f>
        <v>4.44852885945607E-008</v>
      </c>
      <c r="G128" s="24" t="n">
        <f aca="false">IF($A128&lt;Inputs!$B$9*(1+0),B128,0)+IF($A128&lt;Inputs!$B$9*(1+1),C128,0)+IF($A128&lt;Inputs!$B$9*(1+2),D128,0)+IF($A128&lt;Inputs!$B$9*(1+3),E128,0)+IF($A128&lt;Inputs!$B$9*(1+4),F128,0)</f>
        <v>1</v>
      </c>
    </row>
    <row r="129" customFormat="false" ht="15" hidden="false" customHeight="false" outlineLevel="0" collapsed="false">
      <c r="A129" s="4" t="n">
        <v>8</v>
      </c>
      <c r="B129" s="24" t="n">
        <f aca="false">IF(($A128&lt;Inputs!$B$9*(1+0)),B128*(1-$E$116),B128)</f>
        <v>0.953054158569025</v>
      </c>
      <c r="C129" s="24" t="n">
        <f aca="false">IF(($A128&lt;Inputs!$B$9*(1+1)),C128*(1-$E$116),C128)+IF($A128&lt;Inputs!$B$9*1,B128*$E$116,0)</f>
        <v>0.0459642190896086</v>
      </c>
      <c r="D129" s="24" t="n">
        <f aca="false">IF(($A128&lt;Inputs!$B$9*(1+2)),D128*(1-$E$116),D128)+IF($A128&lt;Inputs!$B$9*2,C128*$E$116,0)</f>
        <v>0.000969840349749106</v>
      </c>
      <c r="E129" s="24" t="n">
        <f aca="false">IF(($A128&lt;Inputs!$B$9*(1+3)),E128*(1-$E$116),E128)+IF($A128&lt;Inputs!$B$9*3,D128*$E$116,0)</f>
        <v>1.16934473022873E-005</v>
      </c>
      <c r="F129" s="24" t="n">
        <f aca="false">IF(($A128&lt;Inputs!$B$9*(1+4)),F128*(1-$E$116),F128)+IF($A128&lt;Inputs!$B$9*4,E128*$E$116,0)+IF(($A128&lt;Inputs!$B$9*(1+4)),F128*$E$116,0)</f>
        <v>8.8544315244779E-008</v>
      </c>
      <c r="G129" s="24" t="n">
        <f aca="false">IF($A129&lt;Inputs!$B$9*(1+0),B129,0)+IF($A129&lt;Inputs!$B$9*(1+1),C129,0)+IF($A129&lt;Inputs!$B$9*(1+2),D129,0)+IF($A129&lt;Inputs!$B$9*(1+3),E129,0)+IF($A129&lt;Inputs!$B$9*(1+4),F129,0)</f>
        <v>1</v>
      </c>
    </row>
    <row r="130" customFormat="false" ht="15" hidden="false" customHeight="false" outlineLevel="0" collapsed="false">
      <c r="A130" s="4" t="n">
        <v>9</v>
      </c>
      <c r="B130" s="24" t="n">
        <f aca="false">IF(($A129&lt;Inputs!$B$9*(1+0)),B129*(1-$E$116),B129)</f>
        <v>0.947343060777899</v>
      </c>
      <c r="C130" s="24" t="n">
        <f aca="false">IF(($A129&lt;Inputs!$B$9*(1+1)),C129*(1-$E$116),C129)+IF($A129&lt;Inputs!$B$9*1,B129*$E$116,0)</f>
        <v>0.0513998801201336</v>
      </c>
      <c r="D130" s="24" t="n">
        <f aca="false">IF(($A129&lt;Inputs!$B$9*(1+2)),D129*(1-$E$116),D129)+IF($A129&lt;Inputs!$B$9*2,C129*$E$116,0)</f>
        <v>0.00123946542270417</v>
      </c>
      <c r="E130" s="24" t="n">
        <f aca="false">IF(($A129&lt;Inputs!$B$9*(1+3)),E129*(1-$E$116),E129)+IF($A129&lt;Inputs!$B$9*3,D129*$E$116,0)</f>
        <v>1.74350629375984E-005</v>
      </c>
      <c r="F130" s="24" t="n">
        <f aca="false">IF(($A129&lt;Inputs!$B$9*(1+4)),F129*(1-$E$116),F129)+IF($A129&lt;Inputs!$B$9*4,E129*$E$116,0)+IF(($A129&lt;Inputs!$B$9*(1+4)),F129*$E$116,0)</f>
        <v>1.58616325799785E-007</v>
      </c>
      <c r="G130" s="24" t="n">
        <f aca="false">IF($A130&lt;Inputs!$B$9*(1+0),B130,0)+IF($A130&lt;Inputs!$B$9*(1+1),C130,0)+IF($A130&lt;Inputs!$B$9*(1+2),D130,0)+IF($A130&lt;Inputs!$B$9*(1+3),E130,0)+IF($A130&lt;Inputs!$B$9*(1+4),F130,0)</f>
        <v>1</v>
      </c>
    </row>
    <row r="131" customFormat="false" ht="15" hidden="false" customHeight="false" outlineLevel="0" collapsed="false">
      <c r="A131" s="4" t="n">
        <v>10</v>
      </c>
      <c r="B131" s="24" t="n">
        <f aca="false">IF(($A130&lt;Inputs!$B$9*(1+0)),B130*(1-$E$116),B130)</f>
        <v>0.941666186265363</v>
      </c>
      <c r="C131" s="24" t="n">
        <f aca="false">IF(($A130&lt;Inputs!$B$9*(1+1)),C130*(1-$E$116),C130)+IF($A130&lt;Inputs!$B$9*1,B130*$E$116,0)</f>
        <v>0.0567687451253623</v>
      </c>
      <c r="D131" s="24" t="n">
        <f aca="false">IF(($A130&lt;Inputs!$B$9*(1+2)),D130*(1-$E$116),D130)+IF($A130&lt;Inputs!$B$9*2,C130*$E$116,0)</f>
        <v>0.00154004753653763</v>
      </c>
      <c r="E131" s="24" t="n">
        <f aca="false">IF(($A130&lt;Inputs!$B$9*(1+3)),E130*(1-$E$116),E130)+IF($A130&lt;Inputs!$B$9*3,D130*$E$116,0)</f>
        <v>2.47579782468717E-005</v>
      </c>
      <c r="F131" s="24" t="n">
        <f aca="false">IF(($A130&lt;Inputs!$B$9*(1+4)),F130*(1-$E$116),F130)+IF($A130&lt;Inputs!$B$9*4,E130*$E$116,0)+IF(($A130&lt;Inputs!$B$9*(1+4)),F130*$E$116,0)</f>
        <v>2.63094490587991E-007</v>
      </c>
      <c r="G131" s="24" t="n">
        <f aca="false">IF($A131&lt;Inputs!$B$9*(1+0),B131,0)+IF($A131&lt;Inputs!$B$9*(1+1),C131,0)+IF($A131&lt;Inputs!$B$9*(1+2),D131,0)+IF($A131&lt;Inputs!$B$9*(1+3),E131,0)+IF($A131&lt;Inputs!$B$9*(1+4),F131,0)</f>
        <v>0.0583338137346374</v>
      </c>
    </row>
    <row r="132" customFormat="false" ht="15" hidden="false" customHeight="false" outlineLevel="0" collapsed="false">
      <c r="A132" s="4" t="n">
        <v>11</v>
      </c>
      <c r="B132" s="24" t="n">
        <f aca="false">IF(($A131&lt;Inputs!$B$9*(1+0)),B131*(1-$E$116),B131)</f>
        <v>0.941666186265363</v>
      </c>
      <c r="C132" s="24" t="n">
        <f aca="false">IF(($A131&lt;Inputs!$B$9*(1+1)),C131*(1-$E$116),C131)+IF($A131&lt;Inputs!$B$9*1,B131*$E$116,0)</f>
        <v>0.0564285631409752</v>
      </c>
      <c r="D132" s="24" t="n">
        <f aca="false">IF(($A131&lt;Inputs!$B$9*(1+2)),D131*(1-$E$116),D131)+IF($A131&lt;Inputs!$B$9*2,C131*$E$116,0)</f>
        <v>0.0018710009141294</v>
      </c>
      <c r="E132" s="24" t="n">
        <f aca="false">IF(($A131&lt;Inputs!$B$9*(1+3)),E131*(1-$E$116),E131)+IF($A131&lt;Inputs!$B$9*3,D131*$E$116,0)</f>
        <v>3.38382249164463E-005</v>
      </c>
      <c r="F132" s="24" t="n">
        <f aca="false">IF(($A131&lt;Inputs!$B$9*(1+4)),F131*(1-$E$116),F131)+IF($A131&lt;Inputs!$B$9*4,E131*$E$116,0)+IF(($A131&lt;Inputs!$B$9*(1+4)),F131*$E$116,0)</f>
        <v>4.11454616407864E-007</v>
      </c>
      <c r="G132" s="24" t="n">
        <f aca="false">IF($A132&lt;Inputs!$B$9*(1+0),B132,0)+IF($A132&lt;Inputs!$B$9*(1+1),C132,0)+IF($A132&lt;Inputs!$B$9*(1+2),D132,0)+IF($A132&lt;Inputs!$B$9*(1+3),E132,0)+IF($A132&lt;Inputs!$B$9*(1+4),F132,0)</f>
        <v>0.0583338137346374</v>
      </c>
    </row>
    <row r="133" customFormat="false" ht="15" hidden="false" customHeight="false" outlineLevel="0" collapsed="false">
      <c r="A133" s="4" t="n">
        <v>12</v>
      </c>
      <c r="B133" s="24" t="n">
        <f aca="false">IF(($A132&lt;Inputs!$B$9*(1+0)),B132*(1-$E$116),B132)</f>
        <v>0.941666186265363</v>
      </c>
      <c r="C133" s="24" t="n">
        <f aca="false">IF(($A132&lt;Inputs!$B$9*(1+1)),C132*(1-$E$116),C132)+IF($A132&lt;Inputs!$B$9*1,B132*$E$116,0)</f>
        <v>0.0560904196688406</v>
      </c>
      <c r="D133" s="24" t="n">
        <f aca="false">IF(($A132&lt;Inputs!$B$9*(1+2)),D132*(1-$E$116),D132)+IF($A132&lt;Inputs!$B$9*2,C132*$E$116,0)</f>
        <v>0.0021979325688748</v>
      </c>
      <c r="E133" s="24" t="n">
        <f aca="false">IF(($A132&lt;Inputs!$B$9*(1+3)),E132*(1-$E$116),E132)+IF($A132&lt;Inputs!$B$9*3,D132*$E$116,0)</f>
        <v>4.48472695567391E-005</v>
      </c>
      <c r="F133" s="24" t="n">
        <f aca="false">IF(($A132&lt;Inputs!$B$9*(1+4)),F132*(1-$E$116),F132)+IF($A132&lt;Inputs!$B$9*4,E132*$E$116,0)+IF(($A132&lt;Inputs!$B$9*(1+4)),F132*$E$116,0)</f>
        <v>6.14227365299808E-007</v>
      </c>
      <c r="G133" s="24" t="n">
        <f aca="false">IF($A133&lt;Inputs!$B$9*(1+0),B133,0)+IF($A133&lt;Inputs!$B$9*(1+1),C133,0)+IF($A133&lt;Inputs!$B$9*(1+2),D133,0)+IF($A133&lt;Inputs!$B$9*(1+3),E133,0)+IF($A133&lt;Inputs!$B$9*(1+4),F133,0)</f>
        <v>0.0583338137346374</v>
      </c>
    </row>
    <row r="134" customFormat="false" ht="15" hidden="false" customHeight="false" outlineLevel="0" collapsed="false">
      <c r="A134" s="4" t="n">
        <v>13</v>
      </c>
      <c r="B134" s="24" t="n">
        <f aca="false">IF(($A133&lt;Inputs!$B$9*(1+0)),B133*(1-$E$116),B133)</f>
        <v>0.941666186265363</v>
      </c>
      <c r="C134" s="24" t="n">
        <f aca="false">IF(($A133&lt;Inputs!$B$9*(1+1)),C133*(1-$E$116),C133)+IF($A133&lt;Inputs!$B$9*1,B133*$E$116,0)</f>
        <v>0.0557543024933434</v>
      </c>
      <c r="D134" s="24" t="n">
        <f aca="false">IF(($A133&lt;Inputs!$B$9*(1+2)),D133*(1-$E$116),D133)+IF($A133&lt;Inputs!$B$9*2,C133*$E$116,0)</f>
        <v>0.0025208788162287</v>
      </c>
      <c r="E134" s="24" t="n">
        <f aca="false">IF(($A133&lt;Inputs!$B$9*(1+3)),E133*(1-$E$116),E133)+IF($A133&lt;Inputs!$B$9*3,D133*$E$116,0)</f>
        <v>5.77494541665874E-005</v>
      </c>
      <c r="F134" s="24" t="n">
        <f aca="false">IF(($A133&lt;Inputs!$B$9*(1+4)),F133*(1-$E$116),F133)+IF($A133&lt;Inputs!$B$9*4,E133*$E$116,0)+IF(($A133&lt;Inputs!$B$9*(1+4)),F133*$E$116,0)</f>
        <v>8.82970898708327E-007</v>
      </c>
      <c r="G134" s="24" t="n">
        <f aca="false">IF($A134&lt;Inputs!$B$9*(1+0),B134,0)+IF($A134&lt;Inputs!$B$9*(1+1),C134,0)+IF($A134&lt;Inputs!$B$9*(1+2),D134,0)+IF($A134&lt;Inputs!$B$9*(1+3),E134,0)+IF($A134&lt;Inputs!$B$9*(1+4),F134,0)</f>
        <v>0.0583338137346374</v>
      </c>
    </row>
    <row r="135" customFormat="false" ht="15" hidden="false" customHeight="false" outlineLevel="0" collapsed="false">
      <c r="A135" s="4" t="n">
        <v>14</v>
      </c>
      <c r="B135" s="24" t="n">
        <f aca="false">IF(($A134&lt;Inputs!$B$9*(1+0)),B134*(1-$E$116),B134)</f>
        <v>0.941666186265363</v>
      </c>
      <c r="C135" s="24" t="n">
        <f aca="false">IF(($A134&lt;Inputs!$B$9*(1+1)),C134*(1-$E$116),C134)+IF($A134&lt;Inputs!$B$9*1,B134*$E$116,0)</f>
        <v>0.0554201994720696</v>
      </c>
      <c r="D135" s="24" t="n">
        <f aca="false">IF(($A134&lt;Inputs!$B$9*(1+2)),D134*(1-$E$116),D134)+IF($A134&lt;Inputs!$B$9*2,C134*$E$116,0)</f>
        <v>0.00283987568082758</v>
      </c>
      <c r="E135" s="24" t="n">
        <f aca="false">IF(($A134&lt;Inputs!$B$9*(1+3)),E134*(1-$E$116),E134)+IF($A134&lt;Inputs!$B$9*3,D134*$E$116,0)</f>
        <v>7.25095520397783E-005</v>
      </c>
      <c r="F135" s="24" t="n">
        <f aca="false">IF(($A134&lt;Inputs!$B$9*(1+4)),F134*(1-$E$116),F134)+IF($A134&lt;Inputs!$B$9*4,E134*$E$116,0)+IF(($A134&lt;Inputs!$B$9*(1+4)),F134*$E$116,0)</f>
        <v>1.22902970047121E-006</v>
      </c>
      <c r="G135" s="24" t="n">
        <f aca="false">IF($A135&lt;Inputs!$B$9*(1+0),B135,0)+IF($A135&lt;Inputs!$B$9*(1+1),C135,0)+IF($A135&lt;Inputs!$B$9*(1+2),D135,0)+IF($A135&lt;Inputs!$B$9*(1+3),E135,0)+IF($A135&lt;Inputs!$B$9*(1+4),F135,0)</f>
        <v>0.0583338137346374</v>
      </c>
    </row>
    <row r="136" customFormat="false" ht="15" hidden="false" customHeight="false" outlineLevel="0" collapsed="false">
      <c r="A136" s="4" t="n">
        <v>15</v>
      </c>
      <c r="B136" s="24" t="n">
        <f aca="false">IF(($A135&lt;Inputs!$B$9*(1+0)),B135*(1-$E$116),B135)</f>
        <v>0.941666186265363</v>
      </c>
      <c r="C136" s="24" t="n">
        <f aca="false">IF(($A135&lt;Inputs!$B$9*(1+1)),C135*(1-$E$116),C135)+IF($A135&lt;Inputs!$B$9*1,B135*$E$116,0)</f>
        <v>0.0550880985353674</v>
      </c>
      <c r="D136" s="24" t="n">
        <f aca="false">IF(($A135&lt;Inputs!$B$9*(1+2)),D135*(1-$E$116),D135)+IF($A135&lt;Inputs!$B$9*2,C135*$E$116,0)</f>
        <v>0.00315495889867086</v>
      </c>
      <c r="E136" s="24" t="n">
        <f aca="false">IF(($A135&lt;Inputs!$B$9*(1+3)),E135*(1-$E$116),E135)+IF($A135&lt;Inputs!$B$9*3,D135*$E$116,0)</f>
        <v>8.90927634378451E-005</v>
      </c>
      <c r="F136" s="24" t="n">
        <f aca="false">IF(($A135&lt;Inputs!$B$9*(1+4)),F135*(1-$E$116),F135)+IF($A135&lt;Inputs!$B$9*4,E135*$E$116,0)+IF(($A135&lt;Inputs!$B$9*(1+4)),F135*$E$116,0)</f>
        <v>1.66353716131864E-006</v>
      </c>
      <c r="G136" s="24" t="n">
        <f aca="false">IF($A136&lt;Inputs!$B$9*(1+0),B136,0)+IF($A136&lt;Inputs!$B$9*(1+1),C136,0)+IF($A136&lt;Inputs!$B$9*(1+2),D136,0)+IF($A136&lt;Inputs!$B$9*(1+3),E136,0)+IF($A136&lt;Inputs!$B$9*(1+4),F136,0)</f>
        <v>0.0583338137346374</v>
      </c>
    </row>
    <row r="137" customFormat="false" ht="15" hidden="false" customHeight="false" outlineLevel="0" collapsed="false">
      <c r="A137" s="4" t="n">
        <v>16</v>
      </c>
      <c r="B137" s="24" t="n">
        <f aca="false">IF(($A136&lt;Inputs!$B$9*(1+0)),B136*(1-$E$116),B136)</f>
        <v>0.941666186265363</v>
      </c>
      <c r="C137" s="24" t="n">
        <f aca="false">IF(($A136&lt;Inputs!$B$9*(1+1)),C136*(1-$E$116),C136)+IF($A136&lt;Inputs!$B$9*1,B136*$E$116,0)</f>
        <v>0.0547579876859115</v>
      </c>
      <c r="D137" s="24" t="n">
        <f aca="false">IF(($A136&lt;Inputs!$B$9*(1+2)),D136*(1-$E$116),D136)+IF($A136&lt;Inputs!$B$9*2,C136*$E$116,0)</f>
        <v>0.00346616391928659</v>
      </c>
      <c r="E137" s="24" t="n">
        <f aca="false">IF(($A136&lt;Inputs!$B$9*(1+3)),E136*(1-$E$116),E136)+IF($A136&lt;Inputs!$B$9*3,D136*$E$116,0)</f>
        <v>0.000107464711301865</v>
      </c>
      <c r="F137" s="24" t="n">
        <f aca="false">IF(($A136&lt;Inputs!$B$9*(1+4)),F136*(1-$E$116),F136)+IF($A136&lt;Inputs!$B$9*4,E136*$E$116,0)+IF(($A136&lt;Inputs!$B$9*(1+4)),F136*$E$116,0)</f>
        <v>2.19741813744192E-006</v>
      </c>
      <c r="G137" s="24" t="n">
        <f aca="false">IF($A137&lt;Inputs!$B$9*(1+0),B137,0)+IF($A137&lt;Inputs!$B$9*(1+1),C137,0)+IF($A137&lt;Inputs!$B$9*(1+2),D137,0)+IF($A137&lt;Inputs!$B$9*(1+3),E137,0)+IF($A137&lt;Inputs!$B$9*(1+4),F137,0)</f>
        <v>0.0583338137346374</v>
      </c>
    </row>
    <row r="138" customFormat="false" ht="15" hidden="false" customHeight="false" outlineLevel="0" collapsed="false">
      <c r="A138" s="4" t="n">
        <v>17</v>
      </c>
      <c r="B138" s="24" t="n">
        <f aca="false">IF(($A137&lt;Inputs!$B$9*(1+0)),B137*(1-$E$116),B137)</f>
        <v>0.941666186265363</v>
      </c>
      <c r="C138" s="24" t="n">
        <f aca="false">IF(($A137&lt;Inputs!$B$9*(1+1)),C137*(1-$E$116),C137)+IF($A137&lt;Inputs!$B$9*1,B137*$E$116,0)</f>
        <v>0.0544298549982697</v>
      </c>
      <c r="D138" s="24" t="n">
        <f aca="false">IF(($A137&lt;Inputs!$B$9*(1+2)),D137*(1-$E$116),D137)+IF($A137&lt;Inputs!$B$9*2,C137*$E$116,0)</f>
        <v>0.00377352590788146</v>
      </c>
      <c r="E138" s="24" t="n">
        <f aca="false">IF(($A137&lt;Inputs!$B$9*(1+3)),E137*(1-$E$116),E137)+IF($A137&lt;Inputs!$B$9*3,D137*$E$116,0)</f>
        <v>0.00012759143700293</v>
      </c>
      <c r="F138" s="24" t="n">
        <f aca="false">IF(($A137&lt;Inputs!$B$9*(1+4)),F137*(1-$E$116),F137)+IF($A137&lt;Inputs!$B$9*4,E137*$E$116,0)+IF(($A137&lt;Inputs!$B$9*(1+4)),F137*$E$116,0)</f>
        <v>2.84139148336549E-006</v>
      </c>
      <c r="G138" s="24" t="n">
        <f aca="false">IF($A138&lt;Inputs!$B$9*(1+0),B138,0)+IF($A138&lt;Inputs!$B$9*(1+1),C138,0)+IF($A138&lt;Inputs!$B$9*(1+2),D138,0)+IF($A138&lt;Inputs!$B$9*(1+3),E138,0)+IF($A138&lt;Inputs!$B$9*(1+4),F138,0)</f>
        <v>0.0583338137346374</v>
      </c>
    </row>
    <row r="139" customFormat="false" ht="15" hidden="false" customHeight="false" outlineLevel="0" collapsed="false">
      <c r="A139" s="4" t="n">
        <v>18</v>
      </c>
      <c r="B139" s="24" t="n">
        <f aca="false">IF(($A138&lt;Inputs!$B$9*(1+0)),B138*(1-$E$116),B138)</f>
        <v>0.941666186265363</v>
      </c>
      <c r="C139" s="24" t="n">
        <f aca="false">IF(($A138&lt;Inputs!$B$9*(1+1)),C138*(1-$E$116),C138)+IF($A138&lt;Inputs!$B$9*1,B138*$E$116,0)</f>
        <v>0.0541036886184716</v>
      </c>
      <c r="D139" s="24" t="n">
        <f aca="false">IF(($A138&lt;Inputs!$B$9*(1+2)),D138*(1-$E$116),D138)+IF($A138&lt;Inputs!$B$9*2,C138*$E$116,0)</f>
        <v>0.00407707974747547</v>
      </c>
      <c r="E139" s="24" t="n">
        <f aca="false">IF(($A138&lt;Inputs!$B$9*(1+3)),E138*(1-$E$116),E138)+IF($A138&lt;Inputs!$B$9*3,D138*$E$116,0)</f>
        <v>0.000149439396130969</v>
      </c>
      <c r="F139" s="24" t="n">
        <f aca="false">IF(($A138&lt;Inputs!$B$9*(1+4)),F138*(1-$E$116),F138)+IF($A138&lt;Inputs!$B$9*4,E138*$E$116,0)+IF(($A138&lt;Inputs!$B$9*(1+4)),F138*$E$116,0)</f>
        <v>3.60597255935399E-006</v>
      </c>
      <c r="G139" s="24" t="n">
        <f aca="false">IF($A139&lt;Inputs!$B$9*(1+0),B139,0)+IF($A139&lt;Inputs!$B$9*(1+1),C139,0)+IF($A139&lt;Inputs!$B$9*(1+2),D139,0)+IF($A139&lt;Inputs!$B$9*(1+3),E139,0)+IF($A139&lt;Inputs!$B$9*(1+4),F139,0)</f>
        <v>0.0583338137346374</v>
      </c>
    </row>
    <row r="140" customFormat="false" ht="15" hidden="false" customHeight="false" outlineLevel="0" collapsed="false">
      <c r="A140" s="4" t="n">
        <v>19</v>
      </c>
      <c r="B140" s="24" t="n">
        <f aca="false">IF(($A139&lt;Inputs!$B$9*(1+0)),B139*(1-$E$116),B139)</f>
        <v>0.941666186265363</v>
      </c>
      <c r="C140" s="24" t="n">
        <f aca="false">IF(($A139&lt;Inputs!$B$9*(1+1)),C139*(1-$E$116),C139)+IF($A139&lt;Inputs!$B$9*1,B139*$E$116,0)</f>
        <v>0.0537794767635812</v>
      </c>
      <c r="D140" s="24" t="n">
        <f aca="false">IF(($A139&lt;Inputs!$B$9*(1+2)),D139*(1-$E$116),D139)+IF($A139&lt;Inputs!$B$9*2,C139*$E$116,0)</f>
        <v>0.00437686004102107</v>
      </c>
      <c r="E140" s="24" t="n">
        <f aca="false">IF(($A139&lt;Inputs!$B$9*(1+3)),E139*(1-$E$116),E139)+IF($A139&lt;Inputs!$B$9*3,D139*$E$116,0)</f>
        <v>0.000172975454321598</v>
      </c>
      <c r="F140" s="24" t="n">
        <f aca="false">IF(($A139&lt;Inputs!$B$9*(1+4)),F139*(1-$E$116),F139)+IF($A139&lt;Inputs!$B$9*4,E139*$E$116,0)+IF(($A139&lt;Inputs!$B$9*(1+4)),F139*$E$116,0)</f>
        <v>4.50147571358419E-006</v>
      </c>
      <c r="G140" s="24" t="n">
        <f aca="false">IF($A140&lt;Inputs!$B$9*(1+0),B140,0)+IF($A140&lt;Inputs!$B$9*(1+1),C140,0)+IF($A140&lt;Inputs!$B$9*(1+2),D140,0)+IF($A140&lt;Inputs!$B$9*(1+3),E140,0)+IF($A140&lt;Inputs!$B$9*(1+4),F140,0)</f>
        <v>0.0583338137346374</v>
      </c>
    </row>
    <row r="141" customFormat="false" ht="15" hidden="false" customHeight="false" outlineLevel="0" collapsed="false">
      <c r="A141" s="4" t="n">
        <v>20</v>
      </c>
      <c r="B141" s="24" t="n">
        <f aca="false">IF(($A140&lt;Inputs!$B$9*(1+0)),B140*(1-$E$116),B140)</f>
        <v>0.941666186265363</v>
      </c>
      <c r="C141" s="24" t="n">
        <f aca="false">IF(($A140&lt;Inputs!$B$9*(1+1)),C140*(1-$E$116),C140)+IF($A140&lt;Inputs!$B$9*1,B140*$E$116,0)</f>
        <v>0.0534572077212704</v>
      </c>
      <c r="D141" s="24" t="n">
        <f aca="false">IF(($A140&lt;Inputs!$B$9*(1+2)),D140*(1-$E$116),D140)+IF($A140&lt;Inputs!$B$9*2,C140*$E$116,0)</f>
        <v>0.00467290111350711</v>
      </c>
      <c r="E141" s="24" t="n">
        <f aca="false">IF(($A140&lt;Inputs!$B$9*(1+3)),E140*(1-$E$116),E140)+IF($A140&lt;Inputs!$B$9*3,D140*$E$116,0)</f>
        <v>0.000198166883120666</v>
      </c>
      <c r="F141" s="24" t="n">
        <f aca="false">IF(($A140&lt;Inputs!$B$9*(1+4)),F140*(1-$E$116),F140)+IF($A140&lt;Inputs!$B$9*4,E140*$E$116,0)+IF(($A140&lt;Inputs!$B$9*(1+4)),F140*$E$116,0)</f>
        <v>5.53801673930969E-006</v>
      </c>
      <c r="G141" s="24" t="n">
        <f aca="false">IF($A141&lt;Inputs!$B$9*(1+0),B141,0)+IF($A141&lt;Inputs!$B$9*(1+1),C141,0)+IF($A141&lt;Inputs!$B$9*(1+2),D141,0)+IF($A141&lt;Inputs!$B$9*(1+3),E141,0)+IF($A141&lt;Inputs!$B$9*(1+4),F141,0)</f>
        <v>0.00487660601336708</v>
      </c>
    </row>
    <row r="142" customFormat="false" ht="15" hidden="false" customHeight="false" outlineLevel="0" collapsed="false">
      <c r="A142" s="4" t="n">
        <v>21</v>
      </c>
      <c r="B142" s="24" t="n">
        <f aca="false">IF(($A141&lt;Inputs!$B$9*(1+0)),B141*(1-$E$116),B141)</f>
        <v>0.941666186265363</v>
      </c>
      <c r="C142" s="24" t="n">
        <f aca="false">IF(($A141&lt;Inputs!$B$9*(1+1)),C141*(1-$E$116),C141)+IF($A141&lt;Inputs!$B$9*1,B141*$E$116,0)</f>
        <v>0.0534572077212704</v>
      </c>
      <c r="D142" s="24" t="n">
        <f aca="false">IF(($A141&lt;Inputs!$B$9*(1+2)),D141*(1-$E$116),D141)+IF($A141&lt;Inputs!$B$9*2,C141*$E$116,0)</f>
        <v>0.00464489914217363</v>
      </c>
      <c r="E142" s="24" t="n">
        <f aca="false">IF(($A141&lt;Inputs!$B$9*(1+3)),E141*(1-$E$116),E141)+IF($A141&lt;Inputs!$B$9*3,D141*$E$116,0)</f>
        <v>0.000224981355886208</v>
      </c>
      <c r="F142" s="24" t="n">
        <f aca="false">IF(($A141&lt;Inputs!$B$9*(1+4)),F141*(1-$E$116),F141)+IF($A141&lt;Inputs!$B$9*4,E141*$E$116,0)+IF(($A141&lt;Inputs!$B$9*(1+4)),F141*$E$116,0)</f>
        <v>6.72551530724421E-006</v>
      </c>
      <c r="G142" s="24" t="n">
        <f aca="false">IF($A142&lt;Inputs!$B$9*(1+0),B142,0)+IF($A142&lt;Inputs!$B$9*(1+1),C142,0)+IF($A142&lt;Inputs!$B$9*(1+2),D142,0)+IF($A142&lt;Inputs!$B$9*(1+3),E142,0)+IF($A142&lt;Inputs!$B$9*(1+4),F142,0)</f>
        <v>0.00487660601336708</v>
      </c>
    </row>
    <row r="143" customFormat="false" ht="15" hidden="false" customHeight="false" outlineLevel="0" collapsed="false">
      <c r="A143" s="4" t="n">
        <v>22</v>
      </c>
      <c r="B143" s="24" t="n">
        <f aca="false">IF(($A142&lt;Inputs!$B$9*(1+0)),B142*(1-$E$116),B142)</f>
        <v>0.941666186265363</v>
      </c>
      <c r="C143" s="24" t="n">
        <f aca="false">IF(($A142&lt;Inputs!$B$9*(1+1)),C142*(1-$E$116),C142)+IF($A142&lt;Inputs!$B$9*1,B142*$E$116,0)</f>
        <v>0.0534572077212704</v>
      </c>
      <c r="D143" s="24" t="n">
        <f aca="false">IF(($A142&lt;Inputs!$B$9*(1+2)),D142*(1-$E$116),D142)+IF($A142&lt;Inputs!$B$9*2,C142*$E$116,0)</f>
        <v>0.00461706497032478</v>
      </c>
      <c r="E143" s="24" t="n">
        <f aca="false">IF(($A142&lt;Inputs!$B$9*(1+3)),E142*(1-$E$116),E142)+IF($A142&lt;Inputs!$B$9*3,D142*$E$116,0)</f>
        <v>0.000251467345668914</v>
      </c>
      <c r="F143" s="24" t="n">
        <f aca="false">IF(($A142&lt;Inputs!$B$9*(1+4)),F142*(1-$E$116),F142)+IF($A142&lt;Inputs!$B$9*4,E142*$E$116,0)+IF(($A142&lt;Inputs!$B$9*(1+4)),F142*$E$116,0)</f>
        <v>8.07369737338771E-006</v>
      </c>
      <c r="G143" s="24" t="n">
        <f aca="false">IF($A143&lt;Inputs!$B$9*(1+0),B143,0)+IF($A143&lt;Inputs!$B$9*(1+1),C143,0)+IF($A143&lt;Inputs!$B$9*(1+2),D143,0)+IF($A143&lt;Inputs!$B$9*(1+3),E143,0)+IF($A143&lt;Inputs!$B$9*(1+4),F143,0)</f>
        <v>0.00487660601336708</v>
      </c>
    </row>
    <row r="144" customFormat="false" ht="15" hidden="false" customHeight="false" outlineLevel="0" collapsed="false">
      <c r="A144" s="4" t="n">
        <v>23</v>
      </c>
      <c r="B144" s="24" t="n">
        <f aca="false">IF(($A143&lt;Inputs!$B$9*(1+0)),B143*(1-$E$116),B143)</f>
        <v>0.941666186265363</v>
      </c>
      <c r="C144" s="24" t="n">
        <f aca="false">IF(($A143&lt;Inputs!$B$9*(1+1)),C143*(1-$E$116),C143)+IF($A143&lt;Inputs!$B$9*1,B143*$E$116,0)</f>
        <v>0.0534572077212704</v>
      </c>
      <c r="D144" s="24" t="n">
        <f aca="false">IF(($A143&lt;Inputs!$B$9*(1+2)),D143*(1-$E$116),D143)+IF($A143&lt;Inputs!$B$9*2,C143*$E$116,0)</f>
        <v>0.0045893975924361</v>
      </c>
      <c r="E144" s="24" t="n">
        <f aca="false">IF(($A143&lt;Inputs!$B$9*(1+3)),E143*(1-$E$116),E143)+IF($A143&lt;Inputs!$B$9*3,D143*$E$116,0)</f>
        <v>0.0002776278264002</v>
      </c>
      <c r="F144" s="24" t="n">
        <f aca="false">IF(($A143&lt;Inputs!$B$9*(1+4)),F143*(1-$E$116),F143)+IF($A143&lt;Inputs!$B$9*4,E143*$E$116,0)+IF(($A143&lt;Inputs!$B$9*(1+4)),F143*$E$116,0)</f>
        <v>9.58059453078155E-006</v>
      </c>
      <c r="G144" s="24" t="n">
        <f aca="false">IF($A144&lt;Inputs!$B$9*(1+0),B144,0)+IF($A144&lt;Inputs!$B$9*(1+1),C144,0)+IF($A144&lt;Inputs!$B$9*(1+2),D144,0)+IF($A144&lt;Inputs!$B$9*(1+3),E144,0)+IF($A144&lt;Inputs!$B$9*(1+4),F144,0)</f>
        <v>0.00487660601336708</v>
      </c>
    </row>
    <row r="145" customFormat="false" ht="15" hidden="false" customHeight="false" outlineLevel="0" collapsed="false">
      <c r="A145" s="4" t="n">
        <v>24</v>
      </c>
      <c r="B145" s="24" t="n">
        <f aca="false">IF(($A144&lt;Inputs!$B$9*(1+0)),B144*(1-$E$116),B144)</f>
        <v>0.941666186265363</v>
      </c>
      <c r="C145" s="24" t="n">
        <f aca="false">IF(($A144&lt;Inputs!$B$9*(1+1)),C144*(1-$E$116),C144)+IF($A144&lt;Inputs!$B$9*1,B144*$E$116,0)</f>
        <v>0.0534572077212704</v>
      </c>
      <c r="D145" s="24" t="n">
        <f aca="false">IF(($A144&lt;Inputs!$B$9*(1+2)),D144*(1-$E$116),D144)+IF($A144&lt;Inputs!$B$9*2,C144*$E$116,0)</f>
        <v>0.00456189600900866</v>
      </c>
      <c r="E145" s="24" t="n">
        <f aca="false">IF(($A144&lt;Inputs!$B$9*(1+3)),E144*(1-$E$116),E144)+IF($A144&lt;Inputs!$B$9*3,D144*$E$116,0)</f>
        <v>0.000303465748164924</v>
      </c>
      <c r="F145" s="24" t="n">
        <f aca="false">IF(($A144&lt;Inputs!$B$9*(1+4)),F144*(1-$E$116),F144)+IF($A144&lt;Inputs!$B$9*4,E144*$E$116,0)+IF(($A144&lt;Inputs!$B$9*(1+4)),F144*$E$116,0)</f>
        <v>1.12442561935038E-005</v>
      </c>
      <c r="G145" s="24" t="n">
        <f aca="false">IF($A145&lt;Inputs!$B$9*(1+0),B145,0)+IF($A145&lt;Inputs!$B$9*(1+1),C145,0)+IF($A145&lt;Inputs!$B$9*(1+2),D145,0)+IF($A145&lt;Inputs!$B$9*(1+3),E145,0)+IF($A145&lt;Inputs!$B$9*(1+4),F145,0)</f>
        <v>0.00487660601336708</v>
      </c>
    </row>
    <row r="146" customFormat="false" ht="15" hidden="false" customHeight="false" outlineLevel="0" collapsed="false">
      <c r="A146" s="4" t="n">
        <v>25</v>
      </c>
      <c r="B146" s="24" t="n">
        <f aca="false">IF(($A145&lt;Inputs!$B$9*(1+0)),B145*(1-$E$116),B145)</f>
        <v>0.941666186265363</v>
      </c>
      <c r="C146" s="24" t="n">
        <f aca="false">IF(($A145&lt;Inputs!$B$9*(1+1)),C145*(1-$E$116),C145)+IF($A145&lt;Inputs!$B$9*1,B145*$E$116,0)</f>
        <v>0.0534572077212704</v>
      </c>
      <c r="D146" s="24" t="n">
        <f aca="false">IF(($A145&lt;Inputs!$B$9*(1+2)),D145*(1-$E$116),D145)+IF($A145&lt;Inputs!$B$9*2,C145*$E$116,0)</f>
        <v>0.00453455922653292</v>
      </c>
      <c r="E146" s="24" t="n">
        <f aca="false">IF(($A145&lt;Inputs!$B$9*(1+3)),E145*(1-$E$116),E145)+IF($A145&lt;Inputs!$B$9*3,D145*$E$116,0)</f>
        <v>0.000328984037380392</v>
      </c>
      <c r="F146" s="24" t="n">
        <f aca="false">IF(($A145&lt;Inputs!$B$9*(1+4)),F145*(1-$E$116),F145)+IF($A145&lt;Inputs!$B$9*4,E145*$E$116,0)+IF(($A145&lt;Inputs!$B$9*(1+4)),F145*$E$116,0)</f>
        <v>1.30627494537707E-005</v>
      </c>
      <c r="G146" s="24" t="n">
        <f aca="false">IF($A146&lt;Inputs!$B$9*(1+0),B146,0)+IF($A146&lt;Inputs!$B$9*(1+1),C146,0)+IF($A146&lt;Inputs!$B$9*(1+2),D146,0)+IF($A146&lt;Inputs!$B$9*(1+3),E146,0)+IF($A146&lt;Inputs!$B$9*(1+4),F146,0)</f>
        <v>0.00487660601336708</v>
      </c>
    </row>
    <row r="147" customFormat="false" ht="15" hidden="false" customHeight="false" outlineLevel="0" collapsed="false">
      <c r="A147" s="4" t="n">
        <v>26</v>
      </c>
      <c r="B147" s="24" t="n">
        <f aca="false">IF(($A146&lt;Inputs!$B$9*(1+0)),B146*(1-$E$116),B146)</f>
        <v>0.941666186265363</v>
      </c>
      <c r="C147" s="24" t="n">
        <f aca="false">IF(($A146&lt;Inputs!$B$9*(1+1)),C146*(1-$E$116),C146)+IF($A146&lt;Inputs!$B$9*1,B146*$E$116,0)</f>
        <v>0.0534572077212704</v>
      </c>
      <c r="D147" s="24" t="n">
        <f aca="false">IF(($A146&lt;Inputs!$B$9*(1+2)),D146*(1-$E$116),D146)+IF($A146&lt;Inputs!$B$9*2,C146*$E$116,0)</f>
        <v>0.0045073862574529</v>
      </c>
      <c r="E147" s="24" t="n">
        <f aca="false">IF(($A146&lt;Inputs!$B$9*(1+3)),E146*(1-$E$116),E146)+IF($A146&lt;Inputs!$B$9*3,D146*$E$116,0)</f>
        <v>0.000354185596974073</v>
      </c>
      <c r="F147" s="24" t="n">
        <f aca="false">IF(($A146&lt;Inputs!$B$9*(1+4)),F146*(1-$E$116),F146)+IF($A146&lt;Inputs!$B$9*4,E146*$E$116,0)+IF(($A146&lt;Inputs!$B$9*(1+4)),F146*$E$116,0)</f>
        <v>1.50341589401108E-005</v>
      </c>
      <c r="G147" s="24" t="n">
        <f aca="false">IF($A147&lt;Inputs!$B$9*(1+0),B147,0)+IF($A147&lt;Inputs!$B$9*(1+1),C147,0)+IF($A147&lt;Inputs!$B$9*(1+2),D147,0)+IF($A147&lt;Inputs!$B$9*(1+3),E147,0)+IF($A147&lt;Inputs!$B$9*(1+4),F147,0)</f>
        <v>0.00487660601336708</v>
      </c>
    </row>
    <row r="148" customFormat="false" ht="15" hidden="false" customHeight="false" outlineLevel="0" collapsed="false">
      <c r="A148" s="4" t="n">
        <v>27</v>
      </c>
      <c r="B148" s="24" t="n">
        <f aca="false">IF(($A147&lt;Inputs!$B$9*(1+0)),B147*(1-$E$116),B147)</f>
        <v>0.941666186265363</v>
      </c>
      <c r="C148" s="24" t="n">
        <f aca="false">IF(($A147&lt;Inputs!$B$9*(1+1)),C147*(1-$E$116),C147)+IF($A147&lt;Inputs!$B$9*1,B147*$E$116,0)</f>
        <v>0.0534572077212704</v>
      </c>
      <c r="D148" s="24" t="n">
        <f aca="false">IF(($A147&lt;Inputs!$B$9*(1+2)),D147*(1-$E$116),D147)+IF($A147&lt;Inputs!$B$9*2,C147*$E$116,0)</f>
        <v>0.00448037612013044</v>
      </c>
      <c r="E148" s="24" t="n">
        <f aca="false">IF(($A147&lt;Inputs!$B$9*(1+3)),E147*(1-$E$116),E147)+IF($A147&lt;Inputs!$B$9*3,D147*$E$116,0)</f>
        <v>0.000379073306560039</v>
      </c>
      <c r="F148" s="24" t="n">
        <f aca="false">IF(($A147&lt;Inputs!$B$9*(1+4)),F147*(1-$E$116),F147)+IF($A147&lt;Inputs!$B$9*4,E147*$E$116,0)+IF(($A147&lt;Inputs!$B$9*(1+4)),F147*$E$116,0)</f>
        <v>1.71565866766041E-005</v>
      </c>
      <c r="G148" s="24" t="n">
        <f aca="false">IF($A148&lt;Inputs!$B$9*(1+0),B148,0)+IF($A148&lt;Inputs!$B$9*(1+1),C148,0)+IF($A148&lt;Inputs!$B$9*(1+2),D148,0)+IF($A148&lt;Inputs!$B$9*(1+3),E148,0)+IF($A148&lt;Inputs!$B$9*(1+4),F148,0)</f>
        <v>0.00487660601336708</v>
      </c>
    </row>
    <row r="149" customFormat="false" ht="15" hidden="false" customHeight="false" outlineLevel="0" collapsed="false">
      <c r="A149" s="4" t="n">
        <v>28</v>
      </c>
      <c r="B149" s="24" t="n">
        <f aca="false">IF(($A148&lt;Inputs!$B$9*(1+0)),B148*(1-$E$116),B148)</f>
        <v>0.941666186265363</v>
      </c>
      <c r="C149" s="24" t="n">
        <f aca="false">IF(($A148&lt;Inputs!$B$9*(1+1)),C148*(1-$E$116),C148)+IF($A148&lt;Inputs!$B$9*1,B148*$E$116,0)</f>
        <v>0.0534572077212704</v>
      </c>
      <c r="D149" s="24" t="n">
        <f aca="false">IF(($A148&lt;Inputs!$B$9*(1+2)),D148*(1-$E$116),D148)+IF($A148&lt;Inputs!$B$9*2,C148*$E$116,0)</f>
        <v>0.00445352783880978</v>
      </c>
      <c r="E149" s="24" t="n">
        <f aca="false">IF(($A148&lt;Inputs!$B$9*(1+3)),E148*(1-$E$116),E148)+IF($A148&lt;Inputs!$B$9*3,D148*$E$116,0)</f>
        <v>0.000403650022614129</v>
      </c>
      <c r="F149" s="24" t="n">
        <f aca="false">IF(($A148&lt;Inputs!$B$9*(1+4)),F148*(1-$E$116),F148)+IF($A148&lt;Inputs!$B$9*4,E148*$E$116,0)+IF(($A148&lt;Inputs!$B$9*(1+4)),F148*$E$116,0)</f>
        <v>1.94281519431787E-005</v>
      </c>
      <c r="G149" s="24" t="n">
        <f aca="false">IF($A149&lt;Inputs!$B$9*(1+0),B149,0)+IF($A149&lt;Inputs!$B$9*(1+1),C149,0)+IF($A149&lt;Inputs!$B$9*(1+2),D149,0)+IF($A149&lt;Inputs!$B$9*(1+3),E149,0)+IF($A149&lt;Inputs!$B$9*(1+4),F149,0)</f>
        <v>0.00487660601336708</v>
      </c>
    </row>
    <row r="150" customFormat="false" ht="15" hidden="false" customHeight="false" outlineLevel="0" collapsed="false">
      <c r="A150" s="4" t="n">
        <v>29</v>
      </c>
      <c r="B150" s="24" t="n">
        <f aca="false">IF(($A149&lt;Inputs!$B$9*(1+0)),B149*(1-$E$116),B149)</f>
        <v>0.941666186265363</v>
      </c>
      <c r="C150" s="24" t="n">
        <f aca="false">IF(($A149&lt;Inputs!$B$9*(1+1)),C149*(1-$E$116),C149)+IF($A149&lt;Inputs!$B$9*1,B149*$E$116,0)</f>
        <v>0.0534572077212704</v>
      </c>
      <c r="D150" s="24" t="n">
        <f aca="false">IF(($A149&lt;Inputs!$B$9*(1+2)),D149*(1-$E$116),D149)+IF($A149&lt;Inputs!$B$9*2,C149*$E$116,0)</f>
        <v>0.00442684044358228</v>
      </c>
      <c r="E150" s="24" t="n">
        <f aca="false">IF(($A149&lt;Inputs!$B$9*(1+3)),E149*(1-$E$116),E149)+IF($A149&lt;Inputs!$B$9*3,D149*$E$116,0)</f>
        <v>0.000427918578647852</v>
      </c>
      <c r="F150" s="24" t="n">
        <f aca="false">IF(($A149&lt;Inputs!$B$9*(1+4)),F149*(1-$E$116),F149)+IF($A149&lt;Inputs!$B$9*4,E149*$E$116,0)+IF(($A149&lt;Inputs!$B$9*(1+4)),F149*$E$116,0)</f>
        <v>2.18469911369563E-005</v>
      </c>
      <c r="G150" s="24" t="n">
        <f aca="false">IF($A150&lt;Inputs!$B$9*(1+0),B150,0)+IF($A150&lt;Inputs!$B$9*(1+1),C150,0)+IF($A150&lt;Inputs!$B$9*(1+2),D150,0)+IF($A150&lt;Inputs!$B$9*(1+3),E150,0)+IF($A150&lt;Inputs!$B$9*(1+4),F150,0)</f>
        <v>0.00487660601336708</v>
      </c>
    </row>
    <row r="151" customFormat="false" ht="15" hidden="false" customHeight="false" outlineLevel="0" collapsed="false">
      <c r="A151" s="4" t="n">
        <v>30</v>
      </c>
      <c r="B151" s="24" t="n">
        <f aca="false">IF(($A150&lt;Inputs!$B$9*(1+0)),B150*(1-$E$116),B150)</f>
        <v>0.941666186265363</v>
      </c>
      <c r="C151" s="24" t="n">
        <f aca="false">IF(($A150&lt;Inputs!$B$9*(1+1)),C150*(1-$E$116),C150)+IF($A150&lt;Inputs!$B$9*1,B150*$E$116,0)</f>
        <v>0.0534572077212704</v>
      </c>
      <c r="D151" s="24" t="n">
        <f aca="false">IF(($A150&lt;Inputs!$B$9*(1+2)),D150*(1-$E$116),D150)+IF($A150&lt;Inputs!$B$9*2,C150*$E$116,0)</f>
        <v>0.00440031297035141</v>
      </c>
      <c r="E151" s="24" t="n">
        <f aca="false">IF(($A150&lt;Inputs!$B$9*(1+3)),E150*(1-$E$116),E150)+IF($A150&lt;Inputs!$B$9*3,D150*$E$116,0)</f>
        <v>0.000451881785381039</v>
      </c>
      <c r="F151" s="24" t="n">
        <f aca="false">IF(($A150&lt;Inputs!$B$9*(1+4)),F150*(1-$E$116),F150)+IF($A150&lt;Inputs!$B$9*4,E150*$E$116,0)+IF(($A150&lt;Inputs!$B$9*(1+4)),F150*$E$116,0)</f>
        <v>2.44112576346409E-005</v>
      </c>
      <c r="G151" s="24" t="n">
        <f aca="false">IF($A151&lt;Inputs!$B$9*(1+0),B151,0)+IF($A151&lt;Inputs!$B$9*(1+1),C151,0)+IF($A151&lt;Inputs!$B$9*(1+2),D151,0)+IF($A151&lt;Inputs!$B$9*(1+3),E151,0)+IF($A151&lt;Inputs!$B$9*(1+4),F151,0)</f>
        <v>0.000476293043015679</v>
      </c>
    </row>
    <row r="152" customFormat="false" ht="15" hidden="false" customHeight="false" outlineLevel="0" collapsed="false">
      <c r="A152" s="4" t="n">
        <v>31</v>
      </c>
      <c r="B152" s="24" t="n">
        <f aca="false">IF(($A151&lt;Inputs!$B$9*(1+0)),B151*(1-$E$116),B151)</f>
        <v>0.941666186265363</v>
      </c>
      <c r="C152" s="24" t="n">
        <f aca="false">IF(($A151&lt;Inputs!$B$9*(1+1)),C151*(1-$E$116),C151)+IF($A151&lt;Inputs!$B$9*1,B151*$E$116,0)</f>
        <v>0.0534572077212704</v>
      </c>
      <c r="D152" s="24" t="n">
        <f aca="false">IF(($A151&lt;Inputs!$B$9*(1+2)),D151*(1-$E$116),D151)+IF($A151&lt;Inputs!$B$9*2,C151*$E$116,0)</f>
        <v>0.00440031297035141</v>
      </c>
      <c r="E152" s="24" t="n">
        <f aca="false">IF(($A151&lt;Inputs!$B$9*(1+3)),E151*(1-$E$116),E151)+IF($A151&lt;Inputs!$B$9*3,D151*$E$116,0)</f>
        <v>0.000449173921359738</v>
      </c>
      <c r="F152" s="24" t="n">
        <f aca="false">IF(($A151&lt;Inputs!$B$9*(1+4)),F151*(1-$E$116),F151)+IF($A151&lt;Inputs!$B$9*4,E151*$E$116,0)+IF(($A151&lt;Inputs!$B$9*(1+4)),F151*$E$116,0)</f>
        <v>2.71191216559412E-005</v>
      </c>
      <c r="G152" s="24" t="n">
        <f aca="false">IF($A152&lt;Inputs!$B$9*(1+0),B152,0)+IF($A152&lt;Inputs!$B$9*(1+1),C152,0)+IF($A152&lt;Inputs!$B$9*(1+2),D152,0)+IF($A152&lt;Inputs!$B$9*(1+3),E152,0)+IF($A152&lt;Inputs!$B$9*(1+4),F152,0)</f>
        <v>0.000476293043015679</v>
      </c>
    </row>
    <row r="153" customFormat="false" ht="15" hidden="false" customHeight="false" outlineLevel="0" collapsed="false">
      <c r="A153" s="4" t="n">
        <v>32</v>
      </c>
      <c r="B153" s="24" t="n">
        <f aca="false">IF(($A152&lt;Inputs!$B$9*(1+0)),B152*(1-$E$116),B152)</f>
        <v>0.941666186265363</v>
      </c>
      <c r="C153" s="24" t="n">
        <f aca="false">IF(($A152&lt;Inputs!$B$9*(1+1)),C152*(1-$E$116),C152)+IF($A152&lt;Inputs!$B$9*1,B152*$E$116,0)</f>
        <v>0.0534572077212704</v>
      </c>
      <c r="D153" s="24" t="n">
        <f aca="false">IF(($A152&lt;Inputs!$B$9*(1+2)),D152*(1-$E$116),D152)+IF($A152&lt;Inputs!$B$9*2,C152*$E$116,0)</f>
        <v>0.00440031297035141</v>
      </c>
      <c r="E153" s="24" t="n">
        <f aca="false">IF(($A152&lt;Inputs!$B$9*(1+3)),E152*(1-$E$116),E152)+IF($A152&lt;Inputs!$B$9*3,D152*$E$116,0)</f>
        <v>0.000446482283988405</v>
      </c>
      <c r="F153" s="24" t="n">
        <f aca="false">IF(($A152&lt;Inputs!$B$9*(1+4)),F152*(1-$E$116),F152)+IF($A152&lt;Inputs!$B$9*4,E152*$E$116,0)+IF(($A152&lt;Inputs!$B$9*(1+4)),F152*$E$116,0)</f>
        <v>2.98107590272745E-005</v>
      </c>
      <c r="G153" s="24" t="n">
        <f aca="false">IF($A153&lt;Inputs!$B$9*(1+0),B153,0)+IF($A153&lt;Inputs!$B$9*(1+1),C153,0)+IF($A153&lt;Inputs!$B$9*(1+2),D153,0)+IF($A153&lt;Inputs!$B$9*(1+3),E153,0)+IF($A153&lt;Inputs!$B$9*(1+4),F153,0)</f>
        <v>0.000476293043015679</v>
      </c>
    </row>
    <row r="154" customFormat="false" ht="15" hidden="false" customHeight="false" outlineLevel="0" collapsed="false">
      <c r="A154" s="4" t="n">
        <v>33</v>
      </c>
      <c r="B154" s="24" t="n">
        <f aca="false">IF(($A153&lt;Inputs!$B$9*(1+0)),B153*(1-$E$116),B153)</f>
        <v>0.941666186265363</v>
      </c>
      <c r="C154" s="24" t="n">
        <f aca="false">IF(($A153&lt;Inputs!$B$9*(1+1)),C153*(1-$E$116),C153)+IF($A153&lt;Inputs!$B$9*1,B153*$E$116,0)</f>
        <v>0.0534572077212704</v>
      </c>
      <c r="D154" s="24" t="n">
        <f aca="false">IF(($A153&lt;Inputs!$B$9*(1+2)),D153*(1-$E$116),D153)+IF($A153&lt;Inputs!$B$9*2,C153*$E$116,0)</f>
        <v>0.00440031297035141</v>
      </c>
      <c r="E154" s="24" t="n">
        <f aca="false">IF(($A153&lt;Inputs!$B$9*(1+3)),E153*(1-$E$116),E153)+IF($A153&lt;Inputs!$B$9*3,D153*$E$116,0)</f>
        <v>0.000443806776030188</v>
      </c>
      <c r="F154" s="24" t="n">
        <f aca="false">IF(($A153&lt;Inputs!$B$9*(1+4)),F153*(1-$E$116),F153)+IF($A153&lt;Inputs!$B$9*4,E153*$E$116,0)+IF(($A153&lt;Inputs!$B$9*(1+4)),F153*$E$116,0)</f>
        <v>3.24862669854913E-005</v>
      </c>
      <c r="G154" s="24" t="n">
        <f aca="false">IF($A154&lt;Inputs!$B$9*(1+0),B154,0)+IF($A154&lt;Inputs!$B$9*(1+1),C154,0)+IF($A154&lt;Inputs!$B$9*(1+2),D154,0)+IF($A154&lt;Inputs!$B$9*(1+3),E154,0)+IF($A154&lt;Inputs!$B$9*(1+4),F154,0)</f>
        <v>0.00047629304301568</v>
      </c>
    </row>
    <row r="155" customFormat="false" ht="15" hidden="false" customHeight="false" outlineLevel="0" collapsed="false">
      <c r="A155" s="4" t="n">
        <v>34</v>
      </c>
      <c r="B155" s="24" t="n">
        <f aca="false">IF(($A154&lt;Inputs!$B$9*(1+0)),B154*(1-$E$116),B154)</f>
        <v>0.941666186265363</v>
      </c>
      <c r="C155" s="24" t="n">
        <f aca="false">IF(($A154&lt;Inputs!$B$9*(1+1)),C154*(1-$E$116),C154)+IF($A154&lt;Inputs!$B$9*1,B154*$E$116,0)</f>
        <v>0.0534572077212704</v>
      </c>
      <c r="D155" s="24" t="n">
        <f aca="false">IF(($A154&lt;Inputs!$B$9*(1+2)),D154*(1-$E$116),D154)+IF($A154&lt;Inputs!$B$9*2,C154*$E$116,0)</f>
        <v>0.00440031297035141</v>
      </c>
      <c r="E155" s="24" t="n">
        <f aca="false">IF(($A154&lt;Inputs!$B$9*(1+3)),E154*(1-$E$116),E154)+IF($A154&lt;Inputs!$B$9*3,D154*$E$116,0)</f>
        <v>0.000441147300830921</v>
      </c>
      <c r="F155" s="24" t="n">
        <f aca="false">IF(($A154&lt;Inputs!$B$9*(1+4)),F154*(1-$E$116),F154)+IF($A154&lt;Inputs!$B$9*4,E154*$E$116,0)+IF(($A154&lt;Inputs!$B$9*(1+4)),F154*$E$116,0)</f>
        <v>3.51457421847585E-005</v>
      </c>
      <c r="G155" s="24" t="n">
        <f aca="false">IF($A155&lt;Inputs!$B$9*(1+0),B155,0)+IF($A155&lt;Inputs!$B$9*(1+1),C155,0)+IF($A155&lt;Inputs!$B$9*(1+2),D155,0)+IF($A155&lt;Inputs!$B$9*(1+3),E155,0)+IF($A155&lt;Inputs!$B$9*(1+4),F155,0)</f>
        <v>0.00047629304301568</v>
      </c>
    </row>
    <row r="156" customFormat="false" ht="15" hidden="false" customHeight="false" outlineLevel="0" collapsed="false">
      <c r="A156" s="4" t="n">
        <v>35</v>
      </c>
      <c r="B156" s="24" t="n">
        <f aca="false">IF(($A155&lt;Inputs!$B$9*(1+0)),B155*(1-$E$116),B155)</f>
        <v>0.941666186265363</v>
      </c>
      <c r="C156" s="24" t="n">
        <f aca="false">IF(($A155&lt;Inputs!$B$9*(1+1)),C155*(1-$E$116),C155)+IF($A155&lt;Inputs!$B$9*1,B155*$E$116,0)</f>
        <v>0.0534572077212704</v>
      </c>
      <c r="D156" s="24" t="n">
        <f aca="false">IF(($A155&lt;Inputs!$B$9*(1+2)),D155*(1-$E$116),D155)+IF($A155&lt;Inputs!$B$9*2,C155*$E$116,0)</f>
        <v>0.00440031297035141</v>
      </c>
      <c r="E156" s="24" t="n">
        <f aca="false">IF(($A155&lt;Inputs!$B$9*(1+3)),E155*(1-$E$116),E155)+IF($A155&lt;Inputs!$B$9*3,D155*$E$116,0)</f>
        <v>0.000438503762315629</v>
      </c>
      <c r="F156" s="24" t="n">
        <f aca="false">IF(($A155&lt;Inputs!$B$9*(1+4)),F155*(1-$E$116),F155)+IF($A155&lt;Inputs!$B$9*4,E155*$E$116,0)+IF(($A155&lt;Inputs!$B$9*(1+4)),F155*$E$116,0)</f>
        <v>3.77892807000507E-005</v>
      </c>
      <c r="G156" s="24" t="n">
        <f aca="false">IF($A156&lt;Inputs!$B$9*(1+0),B156,0)+IF($A156&lt;Inputs!$B$9*(1+1),C156,0)+IF($A156&lt;Inputs!$B$9*(1+2),D156,0)+IF($A156&lt;Inputs!$B$9*(1+3),E156,0)+IF($A156&lt;Inputs!$B$9*(1+4),F156,0)</f>
        <v>0.00047629304301568</v>
      </c>
    </row>
    <row r="157" customFormat="false" ht="15" hidden="false" customHeight="false" outlineLevel="0" collapsed="false">
      <c r="A157" s="4" t="n">
        <v>36</v>
      </c>
      <c r="B157" s="24" t="n">
        <f aca="false">IF(($A156&lt;Inputs!$B$9*(1+0)),B156*(1-$E$116),B156)</f>
        <v>0.941666186265363</v>
      </c>
      <c r="C157" s="24" t="n">
        <f aca="false">IF(($A156&lt;Inputs!$B$9*(1+1)),C156*(1-$E$116),C156)+IF($A156&lt;Inputs!$B$9*1,B156*$E$116,0)</f>
        <v>0.0534572077212704</v>
      </c>
      <c r="D157" s="24" t="n">
        <f aca="false">IF(($A156&lt;Inputs!$B$9*(1+2)),D156*(1-$E$116),D156)+IF($A156&lt;Inputs!$B$9*2,C156*$E$116,0)</f>
        <v>0.00440031297035141</v>
      </c>
      <c r="E157" s="24" t="n">
        <f aca="false">IF(($A156&lt;Inputs!$B$9*(1+3)),E156*(1-$E$116),E156)+IF($A156&lt;Inputs!$B$9*3,D156*$E$116,0)</f>
        <v>0.000435876064985058</v>
      </c>
      <c r="F157" s="24" t="n">
        <f aca="false">IF(($A156&lt;Inputs!$B$9*(1+4)),F156*(1-$E$116),F156)+IF($A156&lt;Inputs!$B$9*4,E156*$E$116,0)+IF(($A156&lt;Inputs!$B$9*(1+4)),F156*$E$116,0)</f>
        <v>4.04169780306215E-005</v>
      </c>
      <c r="G157" s="24" t="n">
        <f aca="false">IF($A157&lt;Inputs!$B$9*(1+0),B157,0)+IF($A157&lt;Inputs!$B$9*(1+1),C157,0)+IF($A157&lt;Inputs!$B$9*(1+2),D157,0)+IF($A157&lt;Inputs!$B$9*(1+3),E157,0)+IF($A157&lt;Inputs!$B$9*(1+4),F157,0)</f>
        <v>0.00047629304301568</v>
      </c>
    </row>
    <row r="158" customFormat="false" ht="15" hidden="false" customHeight="false" outlineLevel="0" collapsed="false">
      <c r="A158" s="4" t="n">
        <v>37</v>
      </c>
      <c r="B158" s="24" t="n">
        <f aca="false">IF(($A157&lt;Inputs!$B$9*(1+0)),B157*(1-$E$116),B157)</f>
        <v>0.941666186265363</v>
      </c>
      <c r="C158" s="24" t="n">
        <f aca="false">IF(($A157&lt;Inputs!$B$9*(1+1)),C157*(1-$E$116),C157)+IF($A157&lt;Inputs!$B$9*1,B157*$E$116,0)</f>
        <v>0.0534572077212704</v>
      </c>
      <c r="D158" s="24" t="n">
        <f aca="false">IF(($A157&lt;Inputs!$B$9*(1+2)),D157*(1-$E$116),D157)+IF($A157&lt;Inputs!$B$9*2,C157*$E$116,0)</f>
        <v>0.00440031297035141</v>
      </c>
      <c r="E158" s="24" t="n">
        <f aca="false">IF(($A157&lt;Inputs!$B$9*(1+3)),E157*(1-$E$116),E157)+IF($A157&lt;Inputs!$B$9*3,D157*$E$116,0)</f>
        <v>0.000433264113912227</v>
      </c>
      <c r="F158" s="24" t="n">
        <f aca="false">IF(($A157&lt;Inputs!$B$9*(1+4)),F157*(1-$E$116),F157)+IF($A157&lt;Inputs!$B$9*4,E157*$E$116,0)+IF(($A157&lt;Inputs!$B$9*(1+4)),F157*$E$116,0)</f>
        <v>4.30289291034529E-005</v>
      </c>
      <c r="G158" s="24" t="n">
        <f aca="false">IF($A158&lt;Inputs!$B$9*(1+0),B158,0)+IF($A158&lt;Inputs!$B$9*(1+1),C158,0)+IF($A158&lt;Inputs!$B$9*(1+2),D158,0)+IF($A158&lt;Inputs!$B$9*(1+3),E158,0)+IF($A158&lt;Inputs!$B$9*(1+4),F158,0)</f>
        <v>0.00047629304301568</v>
      </c>
    </row>
    <row r="159" customFormat="false" ht="15" hidden="false" customHeight="false" outlineLevel="0" collapsed="false">
      <c r="A159" s="4" t="n">
        <v>38</v>
      </c>
      <c r="B159" s="24" t="n">
        <f aca="false">IF(($A158&lt;Inputs!$B$9*(1+0)),B158*(1-$E$116),B158)</f>
        <v>0.941666186265363</v>
      </c>
      <c r="C159" s="24" t="n">
        <f aca="false">IF(($A158&lt;Inputs!$B$9*(1+1)),C158*(1-$E$116),C158)+IF($A158&lt;Inputs!$B$9*1,B158*$E$116,0)</f>
        <v>0.0534572077212704</v>
      </c>
      <c r="D159" s="24" t="n">
        <f aca="false">IF(($A158&lt;Inputs!$B$9*(1+2)),D158*(1-$E$116),D158)+IF($A158&lt;Inputs!$B$9*2,C158*$E$116,0)</f>
        <v>0.00440031297035141</v>
      </c>
      <c r="E159" s="24" t="n">
        <f aca="false">IF(($A158&lt;Inputs!$B$9*(1+3)),E158*(1-$E$116),E158)+IF($A158&lt;Inputs!$B$9*3,D158*$E$116,0)</f>
        <v>0.000430667814738994</v>
      </c>
      <c r="F159" s="24" t="n">
        <f aca="false">IF(($A158&lt;Inputs!$B$9*(1+4)),F158*(1-$E$116),F158)+IF($A158&lt;Inputs!$B$9*4,E158*$E$116,0)+IF(($A158&lt;Inputs!$B$9*(1+4)),F158*$E$116,0)</f>
        <v>4.56252282766851E-005</v>
      </c>
      <c r="G159" s="24" t="n">
        <f aca="false">IF($A159&lt;Inputs!$B$9*(1+0),B159,0)+IF($A159&lt;Inputs!$B$9*(1+1),C159,0)+IF($A159&lt;Inputs!$B$9*(1+2),D159,0)+IF($A159&lt;Inputs!$B$9*(1+3),E159,0)+IF($A159&lt;Inputs!$B$9*(1+4),F159,0)</f>
        <v>0.00047629304301568</v>
      </c>
    </row>
    <row r="160" customFormat="false" ht="15" hidden="false" customHeight="false" outlineLevel="0" collapsed="false">
      <c r="A160" s="4" t="n">
        <v>39</v>
      </c>
      <c r="B160" s="24" t="n">
        <f aca="false">IF(($A159&lt;Inputs!$B$9*(1+0)),B159*(1-$E$116),B159)</f>
        <v>0.941666186265363</v>
      </c>
      <c r="C160" s="24" t="n">
        <f aca="false">IF(($A159&lt;Inputs!$B$9*(1+1)),C159*(1-$E$116),C159)+IF($A159&lt;Inputs!$B$9*1,B159*$E$116,0)</f>
        <v>0.0534572077212704</v>
      </c>
      <c r="D160" s="24" t="n">
        <f aca="false">IF(($A159&lt;Inputs!$B$9*(1+2)),D159*(1-$E$116),D159)+IF($A159&lt;Inputs!$B$9*2,C159*$E$116,0)</f>
        <v>0.00440031297035141</v>
      </c>
      <c r="E160" s="24" t="n">
        <f aca="false">IF(($A159&lt;Inputs!$B$9*(1+3)),E159*(1-$E$116),E159)+IF($A159&lt;Inputs!$B$9*3,D159*$E$116,0)</f>
        <v>0.000428087073672655</v>
      </c>
      <c r="F160" s="24" t="n">
        <f aca="false">IF(($A159&lt;Inputs!$B$9*(1+4)),F159*(1-$E$116),F159)+IF($A159&lt;Inputs!$B$9*4,E159*$E$116,0)+IF(($A159&lt;Inputs!$B$9*(1+4)),F159*$E$116,0)</f>
        <v>4.82059693430248E-005</v>
      </c>
      <c r="G160" s="24" t="n">
        <f aca="false">IF($A160&lt;Inputs!$B$9*(1+0),B160,0)+IF($A160&lt;Inputs!$B$9*(1+1),C160,0)+IF($A160&lt;Inputs!$B$9*(1+2),D160,0)+IF($A160&lt;Inputs!$B$9*(1+3),E160,0)+IF($A160&lt;Inputs!$B$9*(1+4),F160,0)</f>
        <v>0.00047629304301568</v>
      </c>
    </row>
    <row r="161" customFormat="false" ht="15" hidden="false" customHeight="false" outlineLevel="0" collapsed="false">
      <c r="A161" s="4" t="n">
        <v>40</v>
      </c>
      <c r="B161" s="24" t="n">
        <f aca="false">IF(($A160&lt;Inputs!$B$9*(1+0)),B160*(1-$E$116),B160)</f>
        <v>0.941666186265363</v>
      </c>
      <c r="C161" s="24" t="n">
        <f aca="false">IF(($A160&lt;Inputs!$B$9*(1+1)),C160*(1-$E$116),C160)+IF($A160&lt;Inputs!$B$9*1,B160*$E$116,0)</f>
        <v>0.0534572077212704</v>
      </c>
      <c r="D161" s="24" t="n">
        <f aca="false">IF(($A160&lt;Inputs!$B$9*(1+2)),D160*(1-$E$116),D160)+IF($A160&lt;Inputs!$B$9*2,C160*$E$116,0)</f>
        <v>0.00440031297035141</v>
      </c>
      <c r="E161" s="24" t="n">
        <f aca="false">IF(($A160&lt;Inputs!$B$9*(1+3)),E160*(1-$E$116),E160)+IF($A160&lt;Inputs!$B$9*3,D160*$E$116,0)</f>
        <v>0.000425521797482546</v>
      </c>
      <c r="F161" s="24" t="n">
        <f aca="false">IF(($A160&lt;Inputs!$B$9*(1+4)),F160*(1-$E$116),F160)+IF($A160&lt;Inputs!$B$9*4,E160*$E$116,0)+IF(($A160&lt;Inputs!$B$9*(1+4)),F160*$E$116,0)</f>
        <v>5.07712455331338E-005</v>
      </c>
      <c r="G161" s="24" t="n">
        <f aca="false">IF($A161&lt;Inputs!$B$9*(1+0),B161,0)+IF($A161&lt;Inputs!$B$9*(1+1),C161,0)+IF($A161&lt;Inputs!$B$9*(1+2),D161,0)+IF($A161&lt;Inputs!$B$9*(1+3),E161,0)+IF($A161&lt;Inputs!$B$9*(1+4),F161,0)</f>
        <v>5.07712455331338E-005</v>
      </c>
    </row>
    <row r="162" customFormat="false" ht="15" hidden="false" customHeight="false" outlineLevel="0" collapsed="false">
      <c r="A162" s="4" t="n">
        <v>41</v>
      </c>
      <c r="B162" s="24" t="n">
        <f aca="false">IF(($A161&lt;Inputs!$B$9*(1+0)),B161*(1-$E$116),B161)</f>
        <v>0.941666186265363</v>
      </c>
      <c r="C162" s="24" t="n">
        <f aca="false">IF(($A161&lt;Inputs!$B$9*(1+1)),C161*(1-$E$116),C161)+IF($A161&lt;Inputs!$B$9*1,B161*$E$116,0)</f>
        <v>0.0534572077212704</v>
      </c>
      <c r="D162" s="24" t="n">
        <f aca="false">IF(($A161&lt;Inputs!$B$9*(1+2)),D161*(1-$E$116),D161)+IF($A161&lt;Inputs!$B$9*2,C161*$E$116,0)</f>
        <v>0.00440031297035141</v>
      </c>
      <c r="E162" s="24" t="n">
        <f aca="false">IF(($A161&lt;Inputs!$B$9*(1+3)),E161*(1-$E$116),E161)+IF($A161&lt;Inputs!$B$9*3,D161*$E$116,0)</f>
        <v>0.000425521797482546</v>
      </c>
      <c r="F162" s="24" t="n">
        <f aca="false">IF(($A161&lt;Inputs!$B$9*(1+4)),F161*(1-$E$116),F161)+IF($A161&lt;Inputs!$B$9*4,E161*$E$116,0)+IF(($A161&lt;Inputs!$B$9*(1+4)),F161*$E$116,0)</f>
        <v>5.07712455331338E-005</v>
      </c>
      <c r="G162" s="24" t="n">
        <f aca="false">IF($A162&lt;Inputs!$B$9*(1+0),B162,0)+IF($A162&lt;Inputs!$B$9*(1+1),C162,0)+IF($A162&lt;Inputs!$B$9*(1+2),D162,0)+IF($A162&lt;Inputs!$B$9*(1+3),E162,0)+IF($A162&lt;Inputs!$B$9*(1+4),F162,0)</f>
        <v>5.07712455331338E-005</v>
      </c>
    </row>
    <row r="163" customFormat="false" ht="15" hidden="false" customHeight="false" outlineLevel="0" collapsed="false">
      <c r="A163" s="4" t="n">
        <v>42</v>
      </c>
      <c r="B163" s="24" t="n">
        <f aca="false">IF(($A162&lt;Inputs!$B$9*(1+0)),B162*(1-$E$116),B162)</f>
        <v>0.941666186265363</v>
      </c>
      <c r="C163" s="24" t="n">
        <f aca="false">IF(($A162&lt;Inputs!$B$9*(1+1)),C162*(1-$E$116),C162)+IF($A162&lt;Inputs!$B$9*1,B162*$E$116,0)</f>
        <v>0.0534572077212704</v>
      </c>
      <c r="D163" s="24" t="n">
        <f aca="false">IF(($A162&lt;Inputs!$B$9*(1+2)),D162*(1-$E$116),D162)+IF($A162&lt;Inputs!$B$9*2,C162*$E$116,0)</f>
        <v>0.00440031297035141</v>
      </c>
      <c r="E163" s="24" t="n">
        <f aca="false">IF(($A162&lt;Inputs!$B$9*(1+3)),E162*(1-$E$116),E162)+IF($A162&lt;Inputs!$B$9*3,D162*$E$116,0)</f>
        <v>0.000425521797482546</v>
      </c>
      <c r="F163" s="24" t="n">
        <f aca="false">IF(($A162&lt;Inputs!$B$9*(1+4)),F162*(1-$E$116),F162)+IF($A162&lt;Inputs!$B$9*4,E162*$E$116,0)+IF(($A162&lt;Inputs!$B$9*(1+4)),F162*$E$116,0)</f>
        <v>5.07712455331338E-005</v>
      </c>
      <c r="G163" s="24" t="n">
        <f aca="false">IF($A163&lt;Inputs!$B$9*(1+0),B163,0)+IF($A163&lt;Inputs!$B$9*(1+1),C163,0)+IF($A163&lt;Inputs!$B$9*(1+2),D163,0)+IF($A163&lt;Inputs!$B$9*(1+3),E163,0)+IF($A163&lt;Inputs!$B$9*(1+4),F163,0)</f>
        <v>5.07712455331338E-005</v>
      </c>
    </row>
    <row r="164" customFormat="false" ht="15" hidden="false" customHeight="false" outlineLevel="0" collapsed="false">
      <c r="A164" s="4" t="n">
        <v>43</v>
      </c>
      <c r="B164" s="24" t="n">
        <f aca="false">IF(($A163&lt;Inputs!$B$9*(1+0)),B163*(1-$E$116),B163)</f>
        <v>0.941666186265363</v>
      </c>
      <c r="C164" s="24" t="n">
        <f aca="false">IF(($A163&lt;Inputs!$B$9*(1+1)),C163*(1-$E$116),C163)+IF($A163&lt;Inputs!$B$9*1,B163*$E$116,0)</f>
        <v>0.0534572077212704</v>
      </c>
      <c r="D164" s="24" t="n">
        <f aca="false">IF(($A163&lt;Inputs!$B$9*(1+2)),D163*(1-$E$116),D163)+IF($A163&lt;Inputs!$B$9*2,C163*$E$116,0)</f>
        <v>0.00440031297035141</v>
      </c>
      <c r="E164" s="24" t="n">
        <f aca="false">IF(($A163&lt;Inputs!$B$9*(1+3)),E163*(1-$E$116),E163)+IF($A163&lt;Inputs!$B$9*3,D163*$E$116,0)</f>
        <v>0.000425521797482546</v>
      </c>
      <c r="F164" s="24" t="n">
        <f aca="false">IF(($A163&lt;Inputs!$B$9*(1+4)),F163*(1-$E$116),F163)+IF($A163&lt;Inputs!$B$9*4,E163*$E$116,0)+IF(($A163&lt;Inputs!$B$9*(1+4)),F163*$E$116,0)</f>
        <v>5.07712455331338E-005</v>
      </c>
      <c r="G164" s="24" t="n">
        <f aca="false">IF($A164&lt;Inputs!$B$9*(1+0),B164,0)+IF($A164&lt;Inputs!$B$9*(1+1),C164,0)+IF($A164&lt;Inputs!$B$9*(1+2),D164,0)+IF($A164&lt;Inputs!$B$9*(1+3),E164,0)+IF($A164&lt;Inputs!$B$9*(1+4),F164,0)</f>
        <v>5.07712455331338E-005</v>
      </c>
    </row>
    <row r="165" customFormat="false" ht="15" hidden="false" customHeight="false" outlineLevel="0" collapsed="false">
      <c r="A165" s="4" t="n">
        <v>44</v>
      </c>
      <c r="B165" s="24" t="n">
        <f aca="false">IF(($A164&lt;Inputs!$B$9*(1+0)),B164*(1-$E$116),B164)</f>
        <v>0.941666186265363</v>
      </c>
      <c r="C165" s="24" t="n">
        <f aca="false">IF(($A164&lt;Inputs!$B$9*(1+1)),C164*(1-$E$116),C164)+IF($A164&lt;Inputs!$B$9*1,B164*$E$116,0)</f>
        <v>0.0534572077212704</v>
      </c>
      <c r="D165" s="24" t="n">
        <f aca="false">IF(($A164&lt;Inputs!$B$9*(1+2)),D164*(1-$E$116),D164)+IF($A164&lt;Inputs!$B$9*2,C164*$E$116,0)</f>
        <v>0.00440031297035141</v>
      </c>
      <c r="E165" s="24" t="n">
        <f aca="false">IF(($A164&lt;Inputs!$B$9*(1+3)),E164*(1-$E$116),E164)+IF($A164&lt;Inputs!$B$9*3,D164*$E$116,0)</f>
        <v>0.000425521797482546</v>
      </c>
      <c r="F165" s="24" t="n">
        <f aca="false">IF(($A164&lt;Inputs!$B$9*(1+4)),F164*(1-$E$116),F164)+IF($A164&lt;Inputs!$B$9*4,E164*$E$116,0)+IF(($A164&lt;Inputs!$B$9*(1+4)),F164*$E$116,0)</f>
        <v>5.07712455331338E-005</v>
      </c>
      <c r="G165" s="24" t="n">
        <f aca="false">IF($A165&lt;Inputs!$B$9*(1+0),B165,0)+IF($A165&lt;Inputs!$B$9*(1+1),C165,0)+IF($A165&lt;Inputs!$B$9*(1+2),D165,0)+IF($A165&lt;Inputs!$B$9*(1+3),E165,0)+IF($A165&lt;Inputs!$B$9*(1+4),F165,0)</f>
        <v>5.07712455331338E-005</v>
      </c>
    </row>
    <row r="166" customFormat="false" ht="15" hidden="false" customHeight="false" outlineLevel="0" collapsed="false">
      <c r="A166" s="4" t="n">
        <v>45</v>
      </c>
      <c r="B166" s="24" t="n">
        <f aca="false">IF(($A165&lt;Inputs!$B$9*(1+0)),B165*(1-$E$116),B165)</f>
        <v>0.941666186265363</v>
      </c>
      <c r="C166" s="24" t="n">
        <f aca="false">IF(($A165&lt;Inputs!$B$9*(1+1)),C165*(1-$E$116),C165)+IF($A165&lt;Inputs!$B$9*1,B165*$E$116,0)</f>
        <v>0.0534572077212704</v>
      </c>
      <c r="D166" s="24" t="n">
        <f aca="false">IF(($A165&lt;Inputs!$B$9*(1+2)),D165*(1-$E$116),D165)+IF($A165&lt;Inputs!$B$9*2,C165*$E$116,0)</f>
        <v>0.00440031297035141</v>
      </c>
      <c r="E166" s="24" t="n">
        <f aca="false">IF(($A165&lt;Inputs!$B$9*(1+3)),E165*(1-$E$116),E165)+IF($A165&lt;Inputs!$B$9*3,D165*$E$116,0)</f>
        <v>0.000425521797482546</v>
      </c>
      <c r="F166" s="24" t="n">
        <f aca="false">IF(($A165&lt;Inputs!$B$9*(1+4)),F165*(1-$E$116),F165)+IF($A165&lt;Inputs!$B$9*4,E165*$E$116,0)+IF(($A165&lt;Inputs!$B$9*(1+4)),F165*$E$116,0)</f>
        <v>5.07712455331338E-005</v>
      </c>
      <c r="G166" s="24" t="n">
        <f aca="false">IF($A166&lt;Inputs!$B$9*(1+0),B166,0)+IF($A166&lt;Inputs!$B$9*(1+1),C166,0)+IF($A166&lt;Inputs!$B$9*(1+2),D166,0)+IF($A166&lt;Inputs!$B$9*(1+3),E166,0)+IF($A166&lt;Inputs!$B$9*(1+4),F166,0)</f>
        <v>5.07712455331338E-005</v>
      </c>
    </row>
    <row r="167" customFormat="false" ht="15" hidden="false" customHeight="false" outlineLevel="0" collapsed="false">
      <c r="A167" s="4" t="n">
        <v>46</v>
      </c>
      <c r="B167" s="24" t="n">
        <f aca="false">IF(($A166&lt;Inputs!$B$9*(1+0)),B166*(1-$E$116),B166)</f>
        <v>0.941666186265363</v>
      </c>
      <c r="C167" s="24" t="n">
        <f aca="false">IF(($A166&lt;Inputs!$B$9*(1+1)),C166*(1-$E$116),C166)+IF($A166&lt;Inputs!$B$9*1,B166*$E$116,0)</f>
        <v>0.0534572077212704</v>
      </c>
      <c r="D167" s="24" t="n">
        <f aca="false">IF(($A166&lt;Inputs!$B$9*(1+2)),D166*(1-$E$116),D166)+IF($A166&lt;Inputs!$B$9*2,C166*$E$116,0)</f>
        <v>0.00440031297035141</v>
      </c>
      <c r="E167" s="24" t="n">
        <f aca="false">IF(($A166&lt;Inputs!$B$9*(1+3)),E166*(1-$E$116),E166)+IF($A166&lt;Inputs!$B$9*3,D166*$E$116,0)</f>
        <v>0.000425521797482546</v>
      </c>
      <c r="F167" s="24" t="n">
        <f aca="false">IF(($A166&lt;Inputs!$B$9*(1+4)),F166*(1-$E$116),F166)+IF($A166&lt;Inputs!$B$9*4,E166*$E$116,0)+IF(($A166&lt;Inputs!$B$9*(1+4)),F166*$E$116,0)</f>
        <v>5.07712455331338E-005</v>
      </c>
      <c r="G167" s="24" t="n">
        <f aca="false">IF($A167&lt;Inputs!$B$9*(1+0),B167,0)+IF($A167&lt;Inputs!$B$9*(1+1),C167,0)+IF($A167&lt;Inputs!$B$9*(1+2),D167,0)+IF($A167&lt;Inputs!$B$9*(1+3),E167,0)+IF($A167&lt;Inputs!$B$9*(1+4),F167,0)</f>
        <v>5.07712455331338E-005</v>
      </c>
    </row>
    <row r="168" customFormat="false" ht="15" hidden="false" customHeight="false" outlineLevel="0" collapsed="false">
      <c r="A168" s="4" t="n">
        <v>47</v>
      </c>
      <c r="B168" s="24" t="n">
        <f aca="false">IF(($A167&lt;Inputs!$B$9*(1+0)),B167*(1-$E$116),B167)</f>
        <v>0.941666186265363</v>
      </c>
      <c r="C168" s="24" t="n">
        <f aca="false">IF(($A167&lt;Inputs!$B$9*(1+1)),C167*(1-$E$116),C167)+IF($A167&lt;Inputs!$B$9*1,B167*$E$116,0)</f>
        <v>0.0534572077212704</v>
      </c>
      <c r="D168" s="24" t="n">
        <f aca="false">IF(($A167&lt;Inputs!$B$9*(1+2)),D167*(1-$E$116),D167)+IF($A167&lt;Inputs!$B$9*2,C167*$E$116,0)</f>
        <v>0.00440031297035141</v>
      </c>
      <c r="E168" s="24" t="n">
        <f aca="false">IF(($A167&lt;Inputs!$B$9*(1+3)),E167*(1-$E$116),E167)+IF($A167&lt;Inputs!$B$9*3,D167*$E$116,0)</f>
        <v>0.000425521797482546</v>
      </c>
      <c r="F168" s="24" t="n">
        <f aca="false">IF(($A167&lt;Inputs!$B$9*(1+4)),F167*(1-$E$116),F167)+IF($A167&lt;Inputs!$B$9*4,E167*$E$116,0)+IF(($A167&lt;Inputs!$B$9*(1+4)),F167*$E$116,0)</f>
        <v>5.07712455331338E-005</v>
      </c>
      <c r="G168" s="24" t="n">
        <f aca="false">IF($A168&lt;Inputs!$B$9*(1+0),B168,0)+IF($A168&lt;Inputs!$B$9*(1+1),C168,0)+IF($A168&lt;Inputs!$B$9*(1+2),D168,0)+IF($A168&lt;Inputs!$B$9*(1+3),E168,0)+IF($A168&lt;Inputs!$B$9*(1+4),F168,0)</f>
        <v>5.07712455331338E-005</v>
      </c>
    </row>
    <row r="169" customFormat="false" ht="15" hidden="false" customHeight="false" outlineLevel="0" collapsed="false">
      <c r="A169" s="4" t="n">
        <v>48</v>
      </c>
      <c r="B169" s="24" t="n">
        <f aca="false">IF(($A168&lt;Inputs!$B$9*(1+0)),B168*(1-$E$116),B168)</f>
        <v>0.941666186265363</v>
      </c>
      <c r="C169" s="24" t="n">
        <f aca="false">IF(($A168&lt;Inputs!$B$9*(1+1)),C168*(1-$E$116),C168)+IF($A168&lt;Inputs!$B$9*1,B168*$E$116,0)</f>
        <v>0.0534572077212704</v>
      </c>
      <c r="D169" s="24" t="n">
        <f aca="false">IF(($A168&lt;Inputs!$B$9*(1+2)),D168*(1-$E$116),D168)+IF($A168&lt;Inputs!$B$9*2,C168*$E$116,0)</f>
        <v>0.00440031297035141</v>
      </c>
      <c r="E169" s="24" t="n">
        <f aca="false">IF(($A168&lt;Inputs!$B$9*(1+3)),E168*(1-$E$116),E168)+IF($A168&lt;Inputs!$B$9*3,D168*$E$116,0)</f>
        <v>0.000425521797482546</v>
      </c>
      <c r="F169" s="24" t="n">
        <f aca="false">IF(($A168&lt;Inputs!$B$9*(1+4)),F168*(1-$E$116),F168)+IF($A168&lt;Inputs!$B$9*4,E168*$E$116,0)+IF(($A168&lt;Inputs!$B$9*(1+4)),F168*$E$116,0)</f>
        <v>5.07712455331338E-005</v>
      </c>
      <c r="G169" s="24" t="n">
        <f aca="false">IF($A169&lt;Inputs!$B$9*(1+0),B169,0)+IF($A169&lt;Inputs!$B$9*(1+1),C169,0)+IF($A169&lt;Inputs!$B$9*(1+2),D169,0)+IF($A169&lt;Inputs!$B$9*(1+3),E169,0)+IF($A169&lt;Inputs!$B$9*(1+4),F169,0)</f>
        <v>5.07712455331338E-005</v>
      </c>
    </row>
    <row r="170" customFormat="false" ht="15" hidden="false" customHeight="false" outlineLevel="0" collapsed="false">
      <c r="A170" s="4" t="n">
        <v>49</v>
      </c>
      <c r="B170" s="24" t="n">
        <f aca="false">IF(($A169&lt;Inputs!$B$9*(1+0)),B169*(1-$E$116),B169)</f>
        <v>0.941666186265363</v>
      </c>
      <c r="C170" s="24" t="n">
        <f aca="false">IF(($A169&lt;Inputs!$B$9*(1+1)),C169*(1-$E$116),C169)+IF($A169&lt;Inputs!$B$9*1,B169*$E$116,0)</f>
        <v>0.0534572077212704</v>
      </c>
      <c r="D170" s="24" t="n">
        <f aca="false">IF(($A169&lt;Inputs!$B$9*(1+2)),D169*(1-$E$116),D169)+IF($A169&lt;Inputs!$B$9*2,C169*$E$116,0)</f>
        <v>0.00440031297035141</v>
      </c>
      <c r="E170" s="24" t="n">
        <f aca="false">IF(($A169&lt;Inputs!$B$9*(1+3)),E169*(1-$E$116),E169)+IF($A169&lt;Inputs!$B$9*3,D169*$E$116,0)</f>
        <v>0.000425521797482546</v>
      </c>
      <c r="F170" s="24" t="n">
        <f aca="false">IF(($A169&lt;Inputs!$B$9*(1+4)),F169*(1-$E$116),F169)+IF($A169&lt;Inputs!$B$9*4,E169*$E$116,0)+IF(($A169&lt;Inputs!$B$9*(1+4)),F169*$E$116,0)</f>
        <v>5.07712455331338E-005</v>
      </c>
      <c r="G170" s="24" t="n">
        <f aca="false">IF($A170&lt;Inputs!$B$9*(1+0),B170,0)+IF($A170&lt;Inputs!$B$9*(1+1),C170,0)+IF($A170&lt;Inputs!$B$9*(1+2),D170,0)+IF($A170&lt;Inputs!$B$9*(1+3),E170,0)+IF($A170&lt;Inputs!$B$9*(1+4),F170,0)</f>
        <v>5.07712455331338E-005</v>
      </c>
    </row>
    <row r="171" customFormat="false" ht="15" hidden="false" customHeight="false" outlineLevel="0" collapsed="false">
      <c r="A171" s="4" t="n">
        <v>50</v>
      </c>
      <c r="B171" s="24" t="n">
        <f aca="false">IF(($A170&lt;Inputs!$B$9*(1+0)),B170*(1-$E$116),B170)</f>
        <v>0.941666186265363</v>
      </c>
      <c r="C171" s="24" t="n">
        <f aca="false">IF(($A170&lt;Inputs!$B$9*(1+1)),C170*(1-$E$116),C170)+IF($A170&lt;Inputs!$B$9*1,B170*$E$116,0)</f>
        <v>0.0534572077212704</v>
      </c>
      <c r="D171" s="24" t="n">
        <f aca="false">IF(($A170&lt;Inputs!$B$9*(1+2)),D170*(1-$E$116),D170)+IF($A170&lt;Inputs!$B$9*2,C170*$E$116,0)</f>
        <v>0.00440031297035141</v>
      </c>
      <c r="E171" s="24" t="n">
        <f aca="false">IF(($A170&lt;Inputs!$B$9*(1+3)),E170*(1-$E$116),E170)+IF($A170&lt;Inputs!$B$9*3,D170*$E$116,0)</f>
        <v>0.000425521797482546</v>
      </c>
      <c r="F171" s="24" t="n">
        <f aca="false">IF(($A170&lt;Inputs!$B$9*(1+4)),F170*(1-$E$116),F170)+IF($A170&lt;Inputs!$B$9*4,E170*$E$116,0)+IF(($A170&lt;Inputs!$B$9*(1+4)),F170*$E$116,0)</f>
        <v>5.07712455331338E-005</v>
      </c>
    </row>
    <row r="172" customFormat="false" ht="15" hidden="false" customHeight="false" outlineLevel="0" collapsed="false">
      <c r="A172" s="17" t="s">
        <v>119</v>
      </c>
      <c r="G172" s="42" t="n">
        <f aca="false">SUM(G121:G170)</f>
        <v>10.6373748403655</v>
      </c>
    </row>
    <row r="173" customFormat="false" ht="15" hidden="false" customHeight="false" outlineLevel="0" collapsed="false">
      <c r="A173" s="4" t="s">
        <v>226</v>
      </c>
      <c r="B173" s="24" t="n">
        <f aca="false">B171</f>
        <v>0.941666186265363</v>
      </c>
      <c r="C173" s="24" t="n">
        <f aca="false">C171</f>
        <v>0.0534572077212704</v>
      </c>
      <c r="D173" s="24" t="n">
        <f aca="false">D171</f>
        <v>0.00440031297035141</v>
      </c>
      <c r="E173" s="24" t="n">
        <f aca="false">E171</f>
        <v>0.000425521797482546</v>
      </c>
      <c r="F173" s="24" t="n">
        <f aca="false">F171</f>
        <v>5.07712455331338E-005</v>
      </c>
    </row>
    <row r="174" customFormat="false" ht="15" hidden="false" customHeight="false" outlineLevel="0" collapsed="false">
      <c r="A174" s="4" t="s">
        <v>227</v>
      </c>
      <c r="B174" s="44" t="n">
        <f aca="false">SUM(B171:F171)</f>
        <v>1</v>
      </c>
    </row>
    <row r="175" customFormat="false" ht="15" hidden="false" customHeight="false" outlineLevel="0" collapsed="false">
      <c r="A175" s="2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3"/>
    <col collapsed="false" customWidth="true" hidden="false" outlineLevel="0" max="4" min="4" style="0" width="17"/>
    <col collapsed="false" customWidth="true" hidden="false" outlineLevel="0" max="13" min="5" style="0" width="13"/>
    <col collapsed="false" customWidth="true" hidden="false" outlineLevel="0" max="15" min="15" style="0" width="40"/>
    <col collapsed="false" customWidth="true" hidden="false" outlineLevel="0" max="19" min="16" style="0" width="18"/>
  </cols>
  <sheetData>
    <row r="1" customFormat="false" ht="17.35" hidden="false" customHeight="false" outlineLevel="0" collapsed="false">
      <c r="A1" s="1" t="s">
        <v>234</v>
      </c>
    </row>
    <row r="2" customFormat="false" ht="15" hidden="false" customHeight="false" outlineLevel="0" collapsed="false">
      <c r="A2" s="2" t="s">
        <v>96</v>
      </c>
    </row>
    <row r="4" customFormat="false" ht="15" hidden="false" customHeight="false" outlineLevel="0" collapsed="false">
      <c r="A4" s="20" t="s">
        <v>97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O4" s="20" t="s">
        <v>98</v>
      </c>
      <c r="P4" s="21"/>
      <c r="Q4" s="21"/>
    </row>
    <row r="5" customFormat="false" ht="15" hidden="false" customHeight="false" outlineLevel="0" collapsed="false">
      <c r="A5" s="3" t="s">
        <v>44</v>
      </c>
      <c r="B5" s="3" t="s">
        <v>99</v>
      </c>
      <c r="C5" s="3" t="s">
        <v>100</v>
      </c>
      <c r="D5" s="3" t="s">
        <v>101</v>
      </c>
      <c r="E5" s="3" t="s">
        <v>102</v>
      </c>
      <c r="F5" s="3" t="s">
        <v>103</v>
      </c>
      <c r="G5" s="3"/>
      <c r="H5" s="3" t="s">
        <v>104</v>
      </c>
      <c r="I5" s="3" t="s">
        <v>105</v>
      </c>
      <c r="J5" s="3" t="s">
        <v>106</v>
      </c>
      <c r="K5" s="3" t="s">
        <v>107</v>
      </c>
      <c r="L5" s="3" t="s">
        <v>108</v>
      </c>
      <c r="O5" s="3" t="s">
        <v>109</v>
      </c>
      <c r="P5" s="3" t="s">
        <v>110</v>
      </c>
      <c r="Q5" s="3" t="s">
        <v>111</v>
      </c>
    </row>
    <row r="6" customFormat="false" ht="15" hidden="false" customHeight="false" outlineLevel="0" collapsed="false">
      <c r="A6" s="4" t="s">
        <v>94</v>
      </c>
      <c r="B6" s="22" t="n">
        <f aca="false">COUNTIF(Strips!$N$3:$N$62,$A6)</f>
        <v>0</v>
      </c>
      <c r="C6" s="22" t="n">
        <f aca="false">COUNTIF(Strips!$O$3:$O$62,$A6)</f>
        <v>5</v>
      </c>
      <c r="D6" s="22" t="n">
        <f aca="false">COUNTIF(Strips!$P$3:$P$62,$A6)</f>
        <v>5</v>
      </c>
      <c r="E6" s="22" t="n">
        <f aca="false">COUNTIF(Strips!$Q$3:$Q$62,$A6)</f>
        <v>5</v>
      </c>
      <c r="F6" s="22" t="n">
        <f aca="false">COUNTIF(Strips!$R$3:$R$62,$A6)</f>
        <v>0</v>
      </c>
      <c r="H6" s="22" t="n">
        <f aca="false">COUNTIF(Strips!$T$3:$T$62,$A6)</f>
        <v>0</v>
      </c>
      <c r="I6" s="22" t="n">
        <f aca="false">COUNTIF(Strips!$U$3:$U$62,$A6)</f>
        <v>5</v>
      </c>
      <c r="J6" s="22" t="n">
        <f aca="false">COUNTIF(Strips!$V$3:$V$62,$A6)</f>
        <v>5</v>
      </c>
      <c r="K6" s="22" t="n">
        <f aca="false">COUNTIF(Strips!$W$3:$W$62,$A6)</f>
        <v>5</v>
      </c>
      <c r="L6" s="22" t="n">
        <f aca="false">COUNTIF(Strips!$X$3:$X$62,$A6)</f>
        <v>0</v>
      </c>
      <c r="O6" s="4" t="s">
        <v>112</v>
      </c>
      <c r="P6" s="23" t="n">
        <f aca="false">G54</f>
        <v>0.615941717134008</v>
      </c>
      <c r="Q6" s="6" t="n">
        <v>0.615941717134008</v>
      </c>
    </row>
    <row r="7" customFormat="false" ht="15" hidden="false" customHeight="false" outlineLevel="0" collapsed="false">
      <c r="A7" s="4" t="s">
        <v>93</v>
      </c>
      <c r="B7" s="22" t="n">
        <f aca="false">COUNTIF(Strips!$N$3:$N$62,$A7)</f>
        <v>1</v>
      </c>
      <c r="C7" s="22" t="n">
        <f aca="false">COUNTIF(Strips!$O$3:$O$62,$A7)</f>
        <v>2</v>
      </c>
      <c r="D7" s="22" t="n">
        <f aca="false">COUNTIF(Strips!$P$3:$P$62,$A7)</f>
        <v>1</v>
      </c>
      <c r="E7" s="22" t="n">
        <f aca="false">COUNTIF(Strips!$Q$3:$Q$62,$A7)</f>
        <v>2</v>
      </c>
      <c r="F7" s="22" t="n">
        <f aca="false">COUNTIF(Strips!$R$3:$R$62,$A7)</f>
        <v>1</v>
      </c>
      <c r="H7" s="22" t="n">
        <f aca="false">COUNTIF(Strips!$T$3:$T$62,$A7)</f>
        <v>1</v>
      </c>
      <c r="I7" s="22" t="n">
        <f aca="false">COUNTIF(Strips!$U$3:$U$62,$A7)</f>
        <v>1</v>
      </c>
      <c r="J7" s="22" t="n">
        <f aca="false">COUNTIF(Strips!$V$3:$V$62,$A7)</f>
        <v>1</v>
      </c>
      <c r="K7" s="22" t="n">
        <f aca="false">COUNTIF(Strips!$W$3:$W$62,$A7)</f>
        <v>1</v>
      </c>
      <c r="L7" s="22" t="n">
        <f aca="false">COUNTIF(Strips!$X$3:$X$62,$A7)</f>
        <v>1</v>
      </c>
      <c r="O7" s="4" t="s">
        <v>113</v>
      </c>
      <c r="P7" s="23" t="n">
        <f aca="false">$E$102</f>
        <v>0.0209189895470383</v>
      </c>
      <c r="Q7" s="6" t="n">
        <v>0.0209189895470383</v>
      </c>
    </row>
    <row r="8" customFormat="false" ht="15" hidden="false" customHeight="false" outlineLevel="0" collapsed="false">
      <c r="A8" s="4" t="s">
        <v>49</v>
      </c>
      <c r="B8" s="22" t="n">
        <f aca="false">COUNTIF(Strips!$N$3:$N$62,$A8)</f>
        <v>1</v>
      </c>
      <c r="C8" s="22" t="n">
        <f aca="false">COUNTIF(Strips!$O$3:$O$62,$A8)</f>
        <v>1</v>
      </c>
      <c r="D8" s="22" t="n">
        <f aca="false">COUNTIF(Strips!$P$3:$P$62,$A8)</f>
        <v>1</v>
      </c>
      <c r="E8" s="22" t="n">
        <f aca="false">COUNTIF(Strips!$Q$3:$Q$62,$A8)</f>
        <v>2</v>
      </c>
      <c r="F8" s="22" t="n">
        <f aca="false">COUNTIF(Strips!$R$3:$R$62,$A8)</f>
        <v>1</v>
      </c>
      <c r="H8" s="22" t="n">
        <f aca="false">COUNTIF(Strips!$T$3:$T$62,$A8)</f>
        <v>2</v>
      </c>
      <c r="I8" s="22" t="n">
        <f aca="false">COUNTIF(Strips!$U$3:$U$62,$A8)</f>
        <v>2</v>
      </c>
      <c r="J8" s="22" t="n">
        <f aca="false">COUNTIF(Strips!$V$3:$V$62,$A8)</f>
        <v>2</v>
      </c>
      <c r="K8" s="22" t="n">
        <f aca="false">COUNTIF(Strips!$W$3:$W$62,$A8)</f>
        <v>2</v>
      </c>
      <c r="L8" s="22" t="n">
        <f aca="false">COUNTIF(Strips!$X$3:$X$62,$A8)</f>
        <v>2</v>
      </c>
      <c r="O8" s="4" t="s">
        <v>9</v>
      </c>
      <c r="P8" s="23" t="n">
        <f aca="false">P6+P7</f>
        <v>0.636860706681046</v>
      </c>
    </row>
    <row r="9" customFormat="false" ht="15" hidden="false" customHeight="false" outlineLevel="0" collapsed="false">
      <c r="A9" s="4" t="s">
        <v>50</v>
      </c>
      <c r="B9" s="22" t="n">
        <f aca="false">COUNTIF(Strips!$N$3:$N$62,$A9)</f>
        <v>2</v>
      </c>
      <c r="C9" s="22" t="n">
        <f aca="false">COUNTIF(Strips!$O$3:$O$62,$A9)</f>
        <v>2</v>
      </c>
      <c r="D9" s="22" t="n">
        <f aca="false">COUNTIF(Strips!$P$3:$P$62,$A9)</f>
        <v>2</v>
      </c>
      <c r="E9" s="22" t="n">
        <f aca="false">COUNTIF(Strips!$Q$3:$Q$62,$A9)</f>
        <v>2</v>
      </c>
      <c r="F9" s="22" t="n">
        <f aca="false">COUNTIF(Strips!$R$3:$R$62,$A9)</f>
        <v>2</v>
      </c>
      <c r="H9" s="22" t="n">
        <f aca="false">COUNTIF(Strips!$T$3:$T$62,$A9)</f>
        <v>2</v>
      </c>
      <c r="I9" s="22" t="n">
        <f aca="false">COUNTIF(Strips!$U$3:$U$62,$A9)</f>
        <v>2</v>
      </c>
      <c r="J9" s="22" t="n">
        <f aca="false">COUNTIF(Strips!$V$3:$V$62,$A9)</f>
        <v>2</v>
      </c>
      <c r="K9" s="22" t="n">
        <f aca="false">COUNTIF(Strips!$W$3:$W$62,$A9)</f>
        <v>2</v>
      </c>
      <c r="L9" s="22" t="n">
        <f aca="false">COUNTIF(Strips!$X$3:$X$62,$A9)</f>
        <v>2</v>
      </c>
      <c r="O9" s="4" t="s">
        <v>114</v>
      </c>
      <c r="P9" s="24" t="n">
        <f aca="false">$E$103</f>
        <v>0.00839036834245894</v>
      </c>
      <c r="Q9" s="25" t="n">
        <v>0.00839036834245893</v>
      </c>
    </row>
    <row r="10" customFormat="false" ht="15" hidden="false" customHeight="false" outlineLevel="0" collapsed="false">
      <c r="A10" s="4" t="s">
        <v>51</v>
      </c>
      <c r="B10" s="22" t="n">
        <f aca="false">COUNTIF(Strips!$N$3:$N$62,$A10)</f>
        <v>3</v>
      </c>
      <c r="C10" s="22" t="n">
        <f aca="false">COUNTIF(Strips!$O$3:$O$62,$A10)</f>
        <v>2</v>
      </c>
      <c r="D10" s="22" t="n">
        <f aca="false">COUNTIF(Strips!$P$3:$P$62,$A10)</f>
        <v>2</v>
      </c>
      <c r="E10" s="22" t="n">
        <f aca="false">COUNTIF(Strips!$Q$3:$Q$62,$A10)</f>
        <v>2</v>
      </c>
      <c r="F10" s="22" t="n">
        <f aca="false">COUNTIF(Strips!$R$3:$R$62,$A10)</f>
        <v>2</v>
      </c>
      <c r="H10" s="22" t="n">
        <f aca="false">COUNTIF(Strips!$T$3:$T$62,$A10)</f>
        <v>3</v>
      </c>
      <c r="I10" s="22" t="n">
        <f aca="false">COUNTIF(Strips!$U$3:$U$62,$A10)</f>
        <v>2</v>
      </c>
      <c r="J10" s="22" t="n">
        <f aca="false">COUNTIF(Strips!$V$3:$V$62,$A10)</f>
        <v>2</v>
      </c>
      <c r="K10" s="22" t="n">
        <f aca="false">COUNTIF(Strips!$W$3:$W$62,$A10)</f>
        <v>2</v>
      </c>
      <c r="L10" s="22" t="n">
        <f aca="false">COUNTIF(Strips!$X$3:$X$62,$A10)</f>
        <v>3</v>
      </c>
      <c r="O10" s="4" t="s">
        <v>115</v>
      </c>
      <c r="P10" s="23" t="n">
        <f aca="false">G90</f>
        <v>1.04272168781786</v>
      </c>
      <c r="Q10" s="6" t="n">
        <v>1.04272168781786</v>
      </c>
    </row>
    <row r="11" customFormat="false" ht="15" hidden="false" customHeight="false" outlineLevel="0" collapsed="false">
      <c r="A11" s="4" t="s">
        <v>52</v>
      </c>
      <c r="B11" s="22" t="n">
        <f aca="false">COUNTIF(Strips!$N$3:$N$62,$A11)</f>
        <v>3</v>
      </c>
      <c r="C11" s="22" t="n">
        <f aca="false">COUNTIF(Strips!$O$3:$O$62,$A11)</f>
        <v>3</v>
      </c>
      <c r="D11" s="22" t="n">
        <f aca="false">COUNTIF(Strips!$P$3:$P$62,$A11)</f>
        <v>3</v>
      </c>
      <c r="E11" s="22" t="n">
        <f aca="false">COUNTIF(Strips!$Q$3:$Q$62,$A11)</f>
        <v>3</v>
      </c>
      <c r="F11" s="22" t="n">
        <f aca="false">COUNTIF(Strips!$R$3:$R$62,$A11)</f>
        <v>3</v>
      </c>
      <c r="H11" s="22" t="n">
        <f aca="false">COUNTIF(Strips!$T$3:$T$62,$A11)</f>
        <v>3</v>
      </c>
      <c r="I11" s="22" t="n">
        <f aca="false">COUNTIF(Strips!$U$3:$U$62,$A11)</f>
        <v>3</v>
      </c>
      <c r="J11" s="22" t="n">
        <f aca="false">COUNTIF(Strips!$V$3:$V$62,$A11)</f>
        <v>3</v>
      </c>
      <c r="K11" s="22" t="n">
        <f aca="false">COUNTIF(Strips!$W$3:$W$62,$A11)</f>
        <v>3</v>
      </c>
      <c r="L11" s="22" t="n">
        <f aca="false">COUNTIF(Strips!$X$3:$X$62,$A11)</f>
        <v>3</v>
      </c>
      <c r="O11" s="4" t="s">
        <v>116</v>
      </c>
      <c r="P11" s="23" t="n">
        <f aca="false">$E$115</f>
        <v>0.0147195721118394</v>
      </c>
      <c r="Q11" s="6" t="n">
        <v>0.0147195721118394</v>
      </c>
    </row>
    <row r="12" customFormat="false" ht="15" hidden="false" customHeight="false" outlineLevel="0" collapsed="false">
      <c r="A12" s="4" t="s">
        <v>53</v>
      </c>
      <c r="B12" s="22" t="n">
        <f aca="false">COUNTIF(Strips!$N$3:$N$62,$A12)</f>
        <v>3</v>
      </c>
      <c r="C12" s="22" t="n">
        <f aca="false">COUNTIF(Strips!$O$3:$O$62,$A12)</f>
        <v>3</v>
      </c>
      <c r="D12" s="22" t="n">
        <f aca="false">COUNTIF(Strips!$P$3:$P$62,$A12)</f>
        <v>3</v>
      </c>
      <c r="E12" s="22" t="n">
        <f aca="false">COUNTIF(Strips!$Q$3:$Q$62,$A12)</f>
        <v>3</v>
      </c>
      <c r="F12" s="22" t="n">
        <f aca="false">COUNTIF(Strips!$R$3:$R$62,$A12)</f>
        <v>3</v>
      </c>
      <c r="H12" s="22" t="n">
        <f aca="false">COUNTIF(Strips!$T$3:$T$62,$A12)</f>
        <v>3</v>
      </c>
      <c r="I12" s="22" t="n">
        <f aca="false">COUNTIF(Strips!$U$3:$U$62,$A12)</f>
        <v>3</v>
      </c>
      <c r="J12" s="22" t="n">
        <f aca="false">COUNTIF(Strips!$V$3:$V$62,$A12)</f>
        <v>3</v>
      </c>
      <c r="K12" s="22" t="n">
        <f aca="false">COUNTIF(Strips!$W$3:$W$62,$A12)</f>
        <v>3</v>
      </c>
      <c r="L12" s="22" t="n">
        <f aca="false">COUNTIF(Strips!$X$3:$X$62,$A12)</f>
        <v>3</v>
      </c>
      <c r="O12" s="4" t="s">
        <v>117</v>
      </c>
      <c r="P12" s="24" t="n">
        <f aca="false">$E$116</f>
        <v>0.00599241684197775</v>
      </c>
      <c r="Q12" s="25" t="n">
        <v>0.00599241684197775</v>
      </c>
    </row>
    <row r="13" customFormat="false" ht="15" hidden="false" customHeight="false" outlineLevel="0" collapsed="false">
      <c r="A13" s="4" t="s">
        <v>54</v>
      </c>
      <c r="B13" s="22" t="n">
        <f aca="false">COUNTIF(Strips!$N$3:$N$62,$A13)</f>
        <v>4</v>
      </c>
      <c r="C13" s="22" t="n">
        <f aca="false">COUNTIF(Strips!$O$3:$O$62,$A13)</f>
        <v>4</v>
      </c>
      <c r="D13" s="22" t="n">
        <f aca="false">COUNTIF(Strips!$P$3:$P$62,$A13)</f>
        <v>4</v>
      </c>
      <c r="E13" s="22" t="n">
        <f aca="false">COUNTIF(Strips!$Q$3:$Q$62,$A13)</f>
        <v>4</v>
      </c>
      <c r="F13" s="22" t="n">
        <f aca="false">COUNTIF(Strips!$R$3:$R$62,$A13)</f>
        <v>5</v>
      </c>
      <c r="H13" s="22" t="n">
        <f aca="false">COUNTIF(Strips!$T$3:$T$62,$A13)</f>
        <v>3</v>
      </c>
      <c r="I13" s="22" t="n">
        <f aca="false">COUNTIF(Strips!$U$3:$U$62,$A13)</f>
        <v>3</v>
      </c>
      <c r="J13" s="22" t="n">
        <f aca="false">COUNTIF(Strips!$V$3:$V$62,$A13)</f>
        <v>3</v>
      </c>
      <c r="K13" s="22" t="n">
        <f aca="false">COUNTIF(Strips!$W$3:$W$62,$A13)</f>
        <v>3</v>
      </c>
      <c r="L13" s="22" t="n">
        <f aca="false">COUNTIF(Strips!$X$3:$X$62,$A13)</f>
        <v>3</v>
      </c>
      <c r="O13" s="4" t="s">
        <v>118</v>
      </c>
      <c r="P13" s="26" t="n">
        <f aca="false">Inputs!$B$10</f>
        <v>3</v>
      </c>
    </row>
    <row r="14" customFormat="false" ht="15" hidden="false" customHeight="false" outlineLevel="0" collapsed="false">
      <c r="A14" s="4" t="s">
        <v>55</v>
      </c>
      <c r="B14" s="22" t="n">
        <f aca="false">COUNTIF(Strips!$N$3:$N$62,$A14)</f>
        <v>5</v>
      </c>
      <c r="C14" s="22" t="n">
        <f aca="false">COUNTIF(Strips!$O$3:$O$62,$A14)</f>
        <v>4</v>
      </c>
      <c r="D14" s="22" t="n">
        <f aca="false">COUNTIF(Strips!$P$3:$P$62,$A14)</f>
        <v>4</v>
      </c>
      <c r="E14" s="22" t="n">
        <f aca="false">COUNTIF(Strips!$Q$3:$Q$62,$A14)</f>
        <v>4</v>
      </c>
      <c r="F14" s="22" t="n">
        <f aca="false">COUNTIF(Strips!$R$3:$R$62,$A14)</f>
        <v>5</v>
      </c>
      <c r="H14" s="22" t="n">
        <f aca="false">COUNTIF(Strips!$T$3:$T$62,$A14)</f>
        <v>4</v>
      </c>
      <c r="I14" s="22" t="n">
        <f aca="false">COUNTIF(Strips!$U$3:$U$62,$A14)</f>
        <v>3</v>
      </c>
      <c r="J14" s="22" t="n">
        <f aca="false">COUNTIF(Strips!$V$3:$V$62,$A14)</f>
        <v>3</v>
      </c>
      <c r="K14" s="22" t="n">
        <f aca="false">COUNTIF(Strips!$W$3:$W$62,$A14)</f>
        <v>3</v>
      </c>
      <c r="L14" s="22" t="n">
        <f aca="false">COUNTIF(Strips!$X$3:$X$62,$A14)</f>
        <v>4</v>
      </c>
      <c r="O14" s="4" t="s">
        <v>119</v>
      </c>
      <c r="P14" s="24" t="n">
        <f aca="false">$G$172</f>
        <v>10.6373748403655</v>
      </c>
      <c r="Q14" s="25" t="n">
        <v>10.6373748403656</v>
      </c>
    </row>
    <row r="15" customFormat="false" ht="15" hidden="false" customHeight="false" outlineLevel="0" collapsed="false">
      <c r="A15" s="4" t="s">
        <v>56</v>
      </c>
      <c r="B15" s="22" t="n">
        <f aca="false">COUNTIF(Strips!$N$3:$N$62,$A15)</f>
        <v>5</v>
      </c>
      <c r="C15" s="22" t="n">
        <f aca="false">COUNTIF(Strips!$O$3:$O$62,$A15)</f>
        <v>5</v>
      </c>
      <c r="D15" s="22" t="n">
        <f aca="false">COUNTIF(Strips!$P$3:$P$62,$A15)</f>
        <v>5</v>
      </c>
      <c r="E15" s="22" t="n">
        <f aca="false">COUNTIF(Strips!$Q$3:$Q$62,$A15)</f>
        <v>4</v>
      </c>
      <c r="F15" s="22" t="n">
        <f aca="false">COUNTIF(Strips!$R$3:$R$62,$A15)</f>
        <v>5</v>
      </c>
      <c r="H15" s="22" t="n">
        <f aca="false">COUNTIF(Strips!$T$3:$T$62,$A15)</f>
        <v>4</v>
      </c>
      <c r="I15" s="22" t="n">
        <f aca="false">COUNTIF(Strips!$U$3:$U$62,$A15)</f>
        <v>3</v>
      </c>
      <c r="J15" s="22" t="n">
        <f aca="false">COUNTIF(Strips!$V$3:$V$62,$A15)</f>
        <v>3</v>
      </c>
      <c r="K15" s="22" t="n">
        <f aca="false">COUNTIF(Strips!$W$3:$W$62,$A15)</f>
        <v>3</v>
      </c>
      <c r="L15" s="22" t="n">
        <f aca="false">COUNTIF(Strips!$X$3:$X$62,$A15)</f>
        <v>4</v>
      </c>
      <c r="O15" s="4" t="s">
        <v>120</v>
      </c>
      <c r="P15" s="27" t="n">
        <f aca="false">P14*P13*(P10+P11)</f>
        <v>33.7451971606218</v>
      </c>
      <c r="Q15" s="28" t="n">
        <v>33.7451971606218</v>
      </c>
    </row>
    <row r="16" customFormat="false" ht="15" hidden="false" customHeight="false" outlineLevel="0" collapsed="false">
      <c r="A16" s="4" t="s">
        <v>57</v>
      </c>
      <c r="B16" s="22" t="n">
        <f aca="false">COUNTIF(Strips!$N$3:$N$62,$A16)</f>
        <v>6</v>
      </c>
      <c r="C16" s="22" t="n">
        <f aca="false">COUNTIF(Strips!$O$3:$O$62,$A16)</f>
        <v>5</v>
      </c>
      <c r="D16" s="22" t="n">
        <f aca="false">COUNTIF(Strips!$P$3:$P$62,$A16)</f>
        <v>5</v>
      </c>
      <c r="E16" s="22" t="n">
        <f aca="false">COUNTIF(Strips!$Q$3:$Q$62,$A16)</f>
        <v>5</v>
      </c>
      <c r="F16" s="22" t="n">
        <f aca="false">COUNTIF(Strips!$R$3:$R$62,$A16)</f>
        <v>6</v>
      </c>
      <c r="H16" s="22" t="n">
        <f aca="false">COUNTIF(Strips!$T$3:$T$62,$A16)</f>
        <v>4</v>
      </c>
      <c r="I16" s="22" t="n">
        <f aca="false">COUNTIF(Strips!$U$3:$U$62,$A16)</f>
        <v>3</v>
      </c>
      <c r="J16" s="22" t="n">
        <f aca="false">COUNTIF(Strips!$V$3:$V$62,$A16)</f>
        <v>3</v>
      </c>
      <c r="K16" s="22" t="n">
        <f aca="false">COUNTIF(Strips!$W$3:$W$62,$A16)</f>
        <v>3</v>
      </c>
      <c r="L16" s="22" t="n">
        <f aca="false">COUNTIF(Strips!$X$3:$X$62,$A16)</f>
        <v>4</v>
      </c>
      <c r="O16" s="4" t="s">
        <v>10</v>
      </c>
      <c r="P16" s="23" t="n">
        <f aca="false">P9*P15</f>
        <v>0.283134633966516</v>
      </c>
      <c r="Q16" s="6" t="n">
        <v>0.283134633966516</v>
      </c>
    </row>
    <row r="17" customFormat="false" ht="15" hidden="false" customHeight="false" outlineLevel="0" collapsed="false">
      <c r="A17" s="4" t="s">
        <v>58</v>
      </c>
      <c r="B17" s="22" t="n">
        <f aca="false">COUNTIF(Strips!$N$3:$N$62,$A17)</f>
        <v>7</v>
      </c>
      <c r="C17" s="22" t="n">
        <f aca="false">COUNTIF(Strips!$O$3:$O$62,$A17)</f>
        <v>6</v>
      </c>
      <c r="D17" s="22" t="n">
        <f aca="false">COUNTIF(Strips!$P$3:$P$62,$A17)</f>
        <v>6</v>
      </c>
      <c r="E17" s="22" t="n">
        <f aca="false">COUNTIF(Strips!$Q$3:$Q$62,$A17)</f>
        <v>6</v>
      </c>
      <c r="F17" s="22" t="n">
        <f aca="false">COUNTIF(Strips!$R$3:$R$62,$A17)</f>
        <v>7</v>
      </c>
      <c r="H17" s="22" t="n">
        <f aca="false">COUNTIF(Strips!$T$3:$T$62,$A17)</f>
        <v>5</v>
      </c>
      <c r="I17" s="22" t="n">
        <f aca="false">COUNTIF(Strips!$U$3:$U$62,$A17)</f>
        <v>4</v>
      </c>
      <c r="J17" s="22" t="n">
        <f aca="false">COUNTIF(Strips!$V$3:$V$62,$A17)</f>
        <v>4</v>
      </c>
      <c r="K17" s="22" t="n">
        <f aca="false">COUNTIF(Strips!$W$3:$W$62,$A17)</f>
        <v>4</v>
      </c>
      <c r="L17" s="22" t="n">
        <f aca="false">COUNTIF(Strips!$X$3:$X$62,$A17)</f>
        <v>5</v>
      </c>
      <c r="O17" s="4" t="s">
        <v>121</v>
      </c>
      <c r="P17" s="29" t="n">
        <f aca="false">P8+P16</f>
        <v>0.919995340647563</v>
      </c>
      <c r="Q17" s="6" t="n">
        <v>0.919995340647563</v>
      </c>
    </row>
    <row r="18" customFormat="false" ht="15" hidden="false" customHeight="false" outlineLevel="0" collapsed="false">
      <c r="A18" s="17" t="s">
        <v>122</v>
      </c>
      <c r="B18" s="22" t="n">
        <f aca="false">SUM(B6:B17)</f>
        <v>40</v>
      </c>
      <c r="C18" s="22" t="n">
        <f aca="false">SUM(C6:C17)</f>
        <v>42</v>
      </c>
      <c r="D18" s="22" t="n">
        <f aca="false">SUM(D6:D17)</f>
        <v>41</v>
      </c>
      <c r="E18" s="22" t="n">
        <f aca="false">SUM(E6:E17)</f>
        <v>42</v>
      </c>
      <c r="F18" s="22" t="n">
        <f aca="false">SUM(F6:F17)</f>
        <v>40</v>
      </c>
      <c r="H18" s="22" t="n">
        <f aca="false">SUM(H6:H17)</f>
        <v>34</v>
      </c>
      <c r="I18" s="22" t="n">
        <f aca="false">SUM(I6:I17)</f>
        <v>34</v>
      </c>
      <c r="J18" s="22" t="n">
        <f aca="false">SUM(J6:J17)</f>
        <v>34</v>
      </c>
      <c r="K18" s="22" t="n">
        <f aca="false">SUM(K6:K17)</f>
        <v>34</v>
      </c>
      <c r="L18" s="22" t="n">
        <f aca="false">SUM(L6:L17)</f>
        <v>34</v>
      </c>
      <c r="O18" s="17" t="s">
        <v>123</v>
      </c>
      <c r="P18" s="30" t="n">
        <f aca="false">P17-Q17</f>
        <v>0</v>
      </c>
    </row>
    <row r="19" customFormat="false" ht="15" hidden="false" customHeight="false" outlineLevel="0" collapsed="false">
      <c r="A19" s="17" t="s">
        <v>124</v>
      </c>
      <c r="B19" s="22" t="n">
        <f aca="false">PRODUCT(B18:F18)</f>
        <v>115718400</v>
      </c>
      <c r="H19" s="22" t="n">
        <f aca="false">PRODUCT(H18:L18)</f>
        <v>45435424</v>
      </c>
      <c r="O19" s="4" t="s">
        <v>125</v>
      </c>
      <c r="P19" s="31" t="n">
        <v>-6.02210974507992E-044</v>
      </c>
    </row>
    <row r="20" customFormat="false" ht="15" hidden="false" customHeight="false" outlineLevel="0" collapsed="false">
      <c r="O20" s="17" t="s">
        <v>126</v>
      </c>
      <c r="P20" s="32" t="n">
        <f aca="false">P17+P19</f>
        <v>0.919995340647563</v>
      </c>
      <c r="Q20" s="6" t="n">
        <v>0.919995340647562</v>
      </c>
    </row>
    <row r="21" customFormat="false" ht="15" hidden="false" customHeight="false" outlineLevel="0" collapsed="false">
      <c r="A21" s="20" t="s">
        <v>127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O21" s="4" t="s">
        <v>128</v>
      </c>
      <c r="P21" s="33" t="n">
        <f aca="false">1-P20</f>
        <v>0.0800046593524375</v>
      </c>
    </row>
    <row r="22" customFormat="false" ht="23.85" hidden="false" customHeight="false" outlineLevel="0" collapsed="false">
      <c r="A22" s="3" t="s">
        <v>44</v>
      </c>
      <c r="B22" s="3" t="s">
        <v>129</v>
      </c>
      <c r="C22" s="3" t="s">
        <v>130</v>
      </c>
      <c r="D22" s="3" t="s">
        <v>131</v>
      </c>
      <c r="E22" s="3" t="s">
        <v>132</v>
      </c>
      <c r="F22" s="3" t="s">
        <v>133</v>
      </c>
      <c r="G22" s="3" t="s">
        <v>134</v>
      </c>
    </row>
    <row r="23" customFormat="false" ht="15" hidden="false" customHeight="false" outlineLevel="0" collapsed="false">
      <c r="A23" s="4" t="s">
        <v>49</v>
      </c>
      <c r="B23" s="4" t="n">
        <v>2</v>
      </c>
      <c r="C23" s="34" t="n">
        <f aca="false">INDEX(Inputs!$B$16:$E$16,1,1)</f>
        <v>2</v>
      </c>
      <c r="D23" s="22" t="n">
        <f aca="false">$B$8*($C$8+$C$6)*($D$18-($D$8+$D$6))*$E$18*$F$18</f>
        <v>352800</v>
      </c>
      <c r="E23" s="24" t="n">
        <f aca="false">D23/$B$19</f>
        <v>0.00304878048780488</v>
      </c>
      <c r="F23" s="35" t="n">
        <f aca="false">IF(E23&gt;0,1/E23,"-")</f>
        <v>328</v>
      </c>
      <c r="G23" s="23" t="n">
        <f aca="false">C23*E23</f>
        <v>0.00609756097560976</v>
      </c>
    </row>
    <row r="24" customFormat="false" ht="15" hidden="false" customHeight="false" outlineLevel="0" collapsed="false">
      <c r="A24" s="4" t="s">
        <v>49</v>
      </c>
      <c r="B24" s="4" t="n">
        <v>3</v>
      </c>
      <c r="C24" s="34" t="n">
        <f aca="false">INDEX(Inputs!$B$16:$E$16,1,2)</f>
        <v>50</v>
      </c>
      <c r="D24" s="22" t="n">
        <f aca="false">$B$8*($C$8+$C$6)*($D$8+$D$6)*($E$18-($E$8+$E$6))*$F$18</f>
        <v>50400</v>
      </c>
      <c r="E24" s="24" t="n">
        <f aca="false">D24/$B$19</f>
        <v>0.000435540069686411</v>
      </c>
      <c r="F24" s="35" t="n">
        <f aca="false">IF(E24&gt;0,1/E24,"-")</f>
        <v>2296</v>
      </c>
      <c r="G24" s="23" t="n">
        <f aca="false">C24*E24</f>
        <v>0.0217770034843206</v>
      </c>
      <c r="O24" s="20" t="s">
        <v>135</v>
      </c>
      <c r="P24" s="21"/>
      <c r="Q24" s="21"/>
      <c r="R24" s="21"/>
      <c r="S24" s="21"/>
    </row>
    <row r="25" customFormat="false" ht="15" hidden="false" customHeight="false" outlineLevel="0" collapsed="false">
      <c r="A25" s="4" t="s">
        <v>49</v>
      </c>
      <c r="B25" s="4" t="n">
        <v>4</v>
      </c>
      <c r="C25" s="34" t="n">
        <f aca="false">INDEX(Inputs!$B$16:$E$16,1,3)</f>
        <v>250</v>
      </c>
      <c r="D25" s="22" t="n">
        <f aca="false">$B$8*($C$8+$C$6)*($D$8+$D$6)*($E$8+$E$6)*($F$18-($F$8+$F$6))</f>
        <v>9828</v>
      </c>
      <c r="E25" s="24" t="n">
        <f aca="false">D25/$B$19</f>
        <v>8.49303135888502E-005</v>
      </c>
      <c r="F25" s="35" t="n">
        <f aca="false">IF(E25&gt;0,1/E25,"-")</f>
        <v>11774.358974359</v>
      </c>
      <c r="G25" s="23" t="n">
        <f aca="false">C25*E25</f>
        <v>0.0212325783972125</v>
      </c>
      <c r="O25" s="3" t="s">
        <v>136</v>
      </c>
      <c r="P25" s="3" t="s">
        <v>137</v>
      </c>
      <c r="Q25" s="3" t="s">
        <v>138</v>
      </c>
      <c r="R25" s="3" t="s">
        <v>139</v>
      </c>
      <c r="S25" s="3" t="s">
        <v>140</v>
      </c>
    </row>
    <row r="26" customFormat="false" ht="15" hidden="false" customHeight="false" outlineLevel="0" collapsed="false">
      <c r="A26" s="4" t="s">
        <v>49</v>
      </c>
      <c r="B26" s="4" t="n">
        <v>5</v>
      </c>
      <c r="C26" s="34" t="n">
        <f aca="false">INDEX(Inputs!$B$16:$E$16,1,4)</f>
        <v>1000</v>
      </c>
      <c r="D26" s="22" t="n">
        <f aca="false">$B$8*($C$8+$C$6)*($D$8+$D$6)*($E$8+$E$6)*($F$8+$F$6)</f>
        <v>252</v>
      </c>
      <c r="E26" s="24" t="n">
        <f aca="false">D26/$B$19</f>
        <v>2.17770034843206E-006</v>
      </c>
      <c r="F26" s="35" t="n">
        <f aca="false">IF(E26&gt;0,1/E26,"-")</f>
        <v>459200</v>
      </c>
      <c r="G26" s="23" t="n">
        <f aca="false">C26*E26</f>
        <v>0.00217770034843206</v>
      </c>
      <c r="O26" s="4" t="s">
        <v>141</v>
      </c>
      <c r="P26" s="23" t="n">
        <f aca="false">SUMIF($A$23:$A$53,"SEVEN",$G$23:$G$53)</f>
        <v>0.0512848432055749</v>
      </c>
      <c r="Q26" s="23" t="n">
        <f aca="false">P9*P14*P13*SUMIF($A$59:$A$89,"SEVEN",$G$59:$G$89)</f>
        <v>0.0720849266352392</v>
      </c>
      <c r="R26" s="23" t="n">
        <f aca="false">P26+Q26</f>
        <v>0.123369769840814</v>
      </c>
      <c r="S26" s="36" t="n">
        <f aca="false">R26/P20</f>
        <v>0.134098255056354</v>
      </c>
    </row>
    <row r="27" customFormat="false" ht="15" hidden="false" customHeight="false" outlineLevel="0" collapsed="false">
      <c r="A27" s="4" t="s">
        <v>50</v>
      </c>
      <c r="B27" s="4" t="n">
        <v>3</v>
      </c>
      <c r="C27" s="34" t="n">
        <f aca="false">INDEX(Inputs!$B$17:$E$17,1,2)</f>
        <v>30</v>
      </c>
      <c r="D27" s="22" t="n">
        <f aca="false">$B$9*($C$9+$C$6)*($D$9+$D$6)*($E$18-($E$9+$E$6))*$F$18</f>
        <v>137200</v>
      </c>
      <c r="E27" s="24" t="n">
        <f aca="false">D27/$B$19</f>
        <v>0.00118563685636856</v>
      </c>
      <c r="F27" s="35" t="n">
        <f aca="false">IF(E27&gt;0,1/E27,"-")</f>
        <v>843.428571428571</v>
      </c>
      <c r="G27" s="23" t="n">
        <f aca="false">C27*E27</f>
        <v>0.0355691056910569</v>
      </c>
      <c r="O27" s="4" t="s">
        <v>142</v>
      </c>
      <c r="P27" s="23" t="n">
        <f aca="false">SUMIF($A$23:$A$53,"BAR",$G$23:$G$53)</f>
        <v>0.068529810298103</v>
      </c>
      <c r="Q27" s="23" t="n">
        <f aca="false">P9*P14*P13*SUMIF($A$59:$A$89,"BAR",$G$59:$G$89)</f>
        <v>0.0354713769537689</v>
      </c>
      <c r="R27" s="23" t="n">
        <f aca="false">P27+Q27</f>
        <v>0.104001187251872</v>
      </c>
      <c r="S27" s="36" t="n">
        <f aca="false">R27/P20</f>
        <v>0.113045341271694</v>
      </c>
    </row>
    <row r="28" customFormat="false" ht="15" hidden="false" customHeight="false" outlineLevel="0" collapsed="false">
      <c r="A28" s="4" t="s">
        <v>50</v>
      </c>
      <c r="B28" s="4" t="n">
        <v>4</v>
      </c>
      <c r="C28" s="34" t="n">
        <f aca="false">INDEX(Inputs!$B$17:$E$17,1,3)</f>
        <v>120</v>
      </c>
      <c r="D28" s="22" t="n">
        <f aca="false">$B$9*($C$9+$C$6)*($D$9+$D$6)*($E$9+$E$6)*($F$18-($F$9+$F$6))</f>
        <v>26068</v>
      </c>
      <c r="E28" s="24" t="n">
        <f aca="false">D28/$B$19</f>
        <v>0.000225271002710027</v>
      </c>
      <c r="F28" s="35" t="n">
        <f aca="false">IF(E28&gt;0,1/E28,"-")</f>
        <v>4439.0977443609</v>
      </c>
      <c r="G28" s="23" t="n">
        <f aca="false">C28*E28</f>
        <v>0.0270325203252033</v>
      </c>
      <c r="O28" s="4" t="s">
        <v>143</v>
      </c>
      <c r="P28" s="23" t="n">
        <f aca="false">SUMIF($A$23:$A$53,"BELL",$G$23:$G$53)</f>
        <v>0.0679369918699187</v>
      </c>
      <c r="Q28" s="23" t="n">
        <f aca="false">P9*P14*P13*SUMIF($A$59:$A$89,"BELL",$G$59:$G$89)</f>
        <v>0.0364011867371548</v>
      </c>
      <c r="R28" s="23" t="n">
        <f aca="false">P28+Q28</f>
        <v>0.104338178607074</v>
      </c>
      <c r="S28" s="36" t="n">
        <f aca="false">R28/P20</f>
        <v>0.113411638078115</v>
      </c>
    </row>
    <row r="29" customFormat="false" ht="15" hidden="false" customHeight="false" outlineLevel="0" collapsed="false">
      <c r="A29" s="4" t="s">
        <v>50</v>
      </c>
      <c r="B29" s="4" t="n">
        <v>5</v>
      </c>
      <c r="C29" s="34" t="n">
        <f aca="false">INDEX(Inputs!$B$17:$E$17,1,4)</f>
        <v>500</v>
      </c>
      <c r="D29" s="22" t="n">
        <f aca="false">$B$9*($C$9+$C$6)*($D$9+$D$6)*($E$9+$E$6)*($F$9+$F$6)</f>
        <v>1372</v>
      </c>
      <c r="E29" s="24" t="n">
        <f aca="false">D29/$B$19</f>
        <v>1.18563685636856E-005</v>
      </c>
      <c r="F29" s="35" t="n">
        <f aca="false">IF(E29&gt;0,1/E29,"-")</f>
        <v>84342.8571428571</v>
      </c>
      <c r="G29" s="23" t="n">
        <f aca="false">C29*E29</f>
        <v>0.00592818428184282</v>
      </c>
      <c r="O29" s="4" t="s">
        <v>144</v>
      </c>
      <c r="P29" s="23" t="n">
        <f aca="false">SUMIF($A$23:$A$53,"MELON",$G$23:$G$53)</f>
        <v>0.0643769703003153</v>
      </c>
      <c r="Q29" s="23" t="n">
        <f aca="false">P9*P14*P13*SUMIF($A$59:$A$89,"MELON",$G$59:$G$89)</f>
        <v>0.0331068384984146</v>
      </c>
      <c r="R29" s="23" t="n">
        <f aca="false">P29+Q29</f>
        <v>0.0974838087987298</v>
      </c>
      <c r="S29" s="36" t="n">
        <f aca="false">R29/P20</f>
        <v>0.105961198379672</v>
      </c>
    </row>
    <row r="30" customFormat="false" ht="15" hidden="false" customHeight="false" outlineLevel="0" collapsed="false">
      <c r="A30" s="4" t="s">
        <v>51</v>
      </c>
      <c r="B30" s="4" t="n">
        <v>3</v>
      </c>
      <c r="C30" s="34" t="n">
        <f aca="false">INDEX(Inputs!$B$18:$E$18,1,2)</f>
        <v>20</v>
      </c>
      <c r="D30" s="22" t="n">
        <f aca="false">$B$10*($C$10+$C$6)*($D$10+$D$6)*($E$18-($E$10+$E$6))*$F$18</f>
        <v>205800</v>
      </c>
      <c r="E30" s="24" t="n">
        <f aca="false">D30/$B$19</f>
        <v>0.00177845528455285</v>
      </c>
      <c r="F30" s="35" t="n">
        <f aca="false">IF(E30&gt;0,1/E30,"-")</f>
        <v>562.285714285714</v>
      </c>
      <c r="G30" s="23" t="n">
        <f aca="false">C30*E30</f>
        <v>0.0355691056910569</v>
      </c>
      <c r="O30" s="4" t="s">
        <v>145</v>
      </c>
      <c r="P30" s="23" t="n">
        <f aca="false">SUMIF($A$23:$A$53,"PLUM",$G$23:$G$53)</f>
        <v>0.0471876555500249</v>
      </c>
      <c r="Q30" s="23" t="n">
        <f aca="false">P9*P14*P13*SUMIF($A$59:$A$89,"PLUM",$G$59:$G$89)</f>
        <v>0.0246208067575359</v>
      </c>
      <c r="R30" s="23" t="n">
        <f aca="false">P30+Q30</f>
        <v>0.0718084623075608</v>
      </c>
      <c r="S30" s="36" t="n">
        <f aca="false">R30/P20</f>
        <v>0.0780530717220987</v>
      </c>
    </row>
    <row r="31" customFormat="false" ht="15" hidden="false" customHeight="false" outlineLevel="0" collapsed="false">
      <c r="A31" s="4" t="s">
        <v>51</v>
      </c>
      <c r="B31" s="4" t="n">
        <v>4</v>
      </c>
      <c r="C31" s="34" t="n">
        <f aca="false">INDEX(Inputs!$B$18:$E$18,1,3)</f>
        <v>80</v>
      </c>
      <c r="D31" s="22" t="n">
        <f aca="false">$B$10*($C$10+$C$6)*($D$10+$D$6)*($E$10+$E$6)*($F$18-($F$10+$F$6))</f>
        <v>39102</v>
      </c>
      <c r="E31" s="24" t="n">
        <f aca="false">D31/$B$19</f>
        <v>0.000337906504065041</v>
      </c>
      <c r="F31" s="35" t="n">
        <f aca="false">IF(E31&gt;0,1/E31,"-")</f>
        <v>2959.3984962406</v>
      </c>
      <c r="G31" s="23" t="n">
        <f aca="false">C31*E31</f>
        <v>0.0270325203252033</v>
      </c>
      <c r="O31" s="4" t="s">
        <v>146</v>
      </c>
      <c r="P31" s="23" t="n">
        <f aca="false">SUMIF($A$23:$A$53,"A",$G$23:$G$53)</f>
        <v>0.0531281110004978</v>
      </c>
      <c r="Q31" s="23" t="n">
        <f aca="false">P9*P14*P13*SUMIF($A$59:$A$89,"A",$G$59:$G$89)</f>
        <v>0.0147317511021653</v>
      </c>
      <c r="R31" s="23" t="n">
        <f aca="false">P31+Q31</f>
        <v>0.0678598621026631</v>
      </c>
      <c r="S31" s="36" t="n">
        <f aca="false">R31/P20</f>
        <v>0.0737610932408616</v>
      </c>
    </row>
    <row r="32" customFormat="false" ht="15" hidden="false" customHeight="false" outlineLevel="0" collapsed="false">
      <c r="A32" s="4" t="s">
        <v>51</v>
      </c>
      <c r="B32" s="4" t="n">
        <v>5</v>
      </c>
      <c r="C32" s="34" t="n">
        <f aca="false">INDEX(Inputs!$B$18:$E$18,1,4)</f>
        <v>300</v>
      </c>
      <c r="D32" s="22" t="n">
        <f aca="false">$B$10*($C$10+$C$6)*($D$10+$D$6)*($E$10+$E$6)*($F$10+$F$6)</f>
        <v>2058</v>
      </c>
      <c r="E32" s="24" t="n">
        <f aca="false">D32/$B$19</f>
        <v>1.77845528455285E-005</v>
      </c>
      <c r="F32" s="35" t="n">
        <f aca="false">IF(E32&gt;0,1/E32,"-")</f>
        <v>56228.5714285714</v>
      </c>
      <c r="G32" s="23" t="n">
        <f aca="false">C32*E32</f>
        <v>0.00533536585365854</v>
      </c>
      <c r="O32" s="4" t="s">
        <v>147</v>
      </c>
      <c r="P32" s="23" t="n">
        <f aca="false">SUMIF($A$23:$A$53,"K",$G$23:$G$53)</f>
        <v>0.0577479467396715</v>
      </c>
      <c r="Q32" s="23" t="n">
        <f aca="false">P9*P14*P13*SUMIF($A$59:$A$89,"K",$G$59:$G$89)</f>
        <v>0.0177716362502312</v>
      </c>
      <c r="R32" s="23" t="n">
        <f aca="false">P32+Q32</f>
        <v>0.0755195829899027</v>
      </c>
      <c r="S32" s="36" t="n">
        <f aca="false">R32/P20</f>
        <v>0.0820869189802051</v>
      </c>
    </row>
    <row r="33" customFormat="false" ht="15" hidden="false" customHeight="false" outlineLevel="0" collapsed="false">
      <c r="A33" s="4" t="s">
        <v>52</v>
      </c>
      <c r="B33" s="4" t="n">
        <v>3</v>
      </c>
      <c r="C33" s="34" t="n">
        <f aca="false">INDEX(Inputs!$B$19:$E$19,1,2)</f>
        <v>15</v>
      </c>
      <c r="D33" s="22" t="n">
        <f aca="false">$B$11*($C$11+$C$6)*($D$11+$D$6)*($E$18-($E$11+$E$6))*$F$18</f>
        <v>261120</v>
      </c>
      <c r="E33" s="24" t="n">
        <f aca="false">D33/$B$19</f>
        <v>0.00225651236104198</v>
      </c>
      <c r="F33" s="35" t="n">
        <f aca="false">IF(E33&gt;0,1/E33,"-")</f>
        <v>443.161764705882</v>
      </c>
      <c r="G33" s="23" t="n">
        <f aca="false">C33*E33</f>
        <v>0.0338476854156297</v>
      </c>
      <c r="O33" s="4" t="s">
        <v>148</v>
      </c>
      <c r="P33" s="23" t="n">
        <f aca="false">SUMIF($A$23:$A$53,"Q",$G$23:$G$53)</f>
        <v>0.0605996971959516</v>
      </c>
      <c r="Q33" s="23" t="n">
        <f aca="false">P9*P14*P13*SUMIF($A$59:$A$89,"Q",$G$59:$G$89)</f>
        <v>0.0149957609785482</v>
      </c>
      <c r="R33" s="23" t="n">
        <f aca="false">P33+Q33</f>
        <v>0.0755954581744998</v>
      </c>
      <c r="S33" s="36" t="n">
        <f aca="false">R33/P20</f>
        <v>0.082169392424629</v>
      </c>
    </row>
    <row r="34" customFormat="false" ht="15" hidden="false" customHeight="false" outlineLevel="0" collapsed="false">
      <c r="A34" s="4" t="s">
        <v>52</v>
      </c>
      <c r="B34" s="4" t="n">
        <v>4</v>
      </c>
      <c r="C34" s="34" t="n">
        <f aca="false">INDEX(Inputs!$B$19:$E$19,1,3)</f>
        <v>50</v>
      </c>
      <c r="D34" s="22" t="n">
        <f aca="false">$B$11*($C$11+$C$6)*($D$11+$D$6)*($E$11+$E$6)*($F$18-($F$11+$F$6))</f>
        <v>56832</v>
      </c>
      <c r="E34" s="24" t="n">
        <f aca="false">D34/$B$19</f>
        <v>0.000491123278579725</v>
      </c>
      <c r="F34" s="35" t="n">
        <f aca="false">IF(E34&gt;0,1/E34,"-")</f>
        <v>2036.14864864865</v>
      </c>
      <c r="G34" s="23" t="n">
        <f aca="false">C34*E34</f>
        <v>0.0245561639289862</v>
      </c>
      <c r="O34" s="4" t="s">
        <v>149</v>
      </c>
      <c r="P34" s="23" t="n">
        <f aca="false">SUMIF($A$23:$A$53,"J",$G$23:$G$53)</f>
        <v>0.0597312095569935</v>
      </c>
      <c r="Q34" s="23" t="n">
        <f aca="false">P9*P14*P13*SUMIF($A$59:$A$89,"J",$G$59:$G$89)</f>
        <v>0.0113690195909798</v>
      </c>
      <c r="R34" s="23" t="n">
        <f aca="false">P34+Q34</f>
        <v>0.0711002291479734</v>
      </c>
      <c r="S34" s="36" t="n">
        <f aca="false">R34/P20</f>
        <v>0.0772832491715965</v>
      </c>
    </row>
    <row r="35" customFormat="false" ht="15" hidden="false" customHeight="false" outlineLevel="0" collapsed="false">
      <c r="A35" s="4" t="s">
        <v>52</v>
      </c>
      <c r="B35" s="4" t="n">
        <v>5</v>
      </c>
      <c r="C35" s="34" t="n">
        <f aca="false">INDEX(Inputs!$B$19:$E$19,1,4)</f>
        <v>150</v>
      </c>
      <c r="D35" s="22" t="n">
        <f aca="false">$B$11*($C$11+$C$6)*($D$11+$D$6)*($E$11+$E$6)*($F$11+$F$6)</f>
        <v>4608</v>
      </c>
      <c r="E35" s="24" t="n">
        <f aca="false">D35/$B$19</f>
        <v>3.9820806371329E-005</v>
      </c>
      <c r="F35" s="35" t="n">
        <f aca="false">IF(E35&gt;0,1/E35,"-")</f>
        <v>25112.5</v>
      </c>
      <c r="G35" s="23" t="n">
        <f aca="false">C35*E35</f>
        <v>0.00597312095569935</v>
      </c>
      <c r="O35" s="4" t="s">
        <v>150</v>
      </c>
      <c r="P35" s="23" t="n">
        <f aca="false">SUMIF($A$23:$A$53,"10",$G$23:$G$53)</f>
        <v>0.085418481416957</v>
      </c>
      <c r="Q35" s="23" t="n">
        <f aca="false">P9*P14*P13*SUMIF($A$59:$A$89,"10",$G$59:$G$89)</f>
        <v>0.0186400990958238</v>
      </c>
      <c r="R35" s="23" t="n">
        <f aca="false">P35+Q35</f>
        <v>0.104058580512781</v>
      </c>
      <c r="S35" s="36" t="n">
        <f aca="false">R35/P20</f>
        <v>0.113107725566889</v>
      </c>
    </row>
    <row r="36" customFormat="false" ht="15" hidden="false" customHeight="false" outlineLevel="0" collapsed="false">
      <c r="A36" s="4" t="s">
        <v>53</v>
      </c>
      <c r="B36" s="4" t="n">
        <v>3</v>
      </c>
      <c r="C36" s="34" t="n">
        <f aca="false">INDEX(Inputs!$B$20:$E$20,1,2)</f>
        <v>10</v>
      </c>
      <c r="D36" s="22" t="n">
        <f aca="false">$B$12*($C$12+$C$6)*($D$12+$D$6)*($E$18-($E$12+$E$6))*$F$18</f>
        <v>261120</v>
      </c>
      <c r="E36" s="24" t="n">
        <f aca="false">D36/$B$19</f>
        <v>0.00225651236104198</v>
      </c>
      <c r="F36" s="35" t="n">
        <f aca="false">IF(E36&gt;0,1/E36,"-")</f>
        <v>443.161764705882</v>
      </c>
      <c r="G36" s="23" t="n">
        <f aca="false">C36*E36</f>
        <v>0.0225651236104198</v>
      </c>
      <c r="O36" s="4" t="s">
        <v>151</v>
      </c>
      <c r="P36" s="23" t="n">
        <f aca="false">$E$102</f>
        <v>0.0209189895470383</v>
      </c>
      <c r="Q36" s="23" t="n">
        <f aca="false">P9*P14*P13*$E$115</f>
        <v>0.00394123136665433</v>
      </c>
      <c r="R36" s="23" t="n">
        <f aca="false">P36+Q36</f>
        <v>0.0248602209136927</v>
      </c>
      <c r="S36" s="36" t="n">
        <f aca="false">R36/P20</f>
        <v>0.0270221161078861</v>
      </c>
    </row>
    <row r="37" customFormat="false" ht="15" hidden="false" customHeight="false" outlineLevel="0" collapsed="false">
      <c r="A37" s="4" t="s">
        <v>53</v>
      </c>
      <c r="B37" s="4" t="n">
        <v>4</v>
      </c>
      <c r="C37" s="34" t="n">
        <f aca="false">INDEX(Inputs!$B$20:$E$20,1,3)</f>
        <v>40</v>
      </c>
      <c r="D37" s="22" t="n">
        <f aca="false">$B$12*($C$12+$C$6)*($D$12+$D$6)*($E$12+$E$6)*($F$18-($F$12+$F$6))</f>
        <v>56832</v>
      </c>
      <c r="E37" s="24" t="n">
        <f aca="false">D37/$B$19</f>
        <v>0.000491123278579725</v>
      </c>
      <c r="F37" s="35" t="n">
        <f aca="false">IF(E37&gt;0,1/E37,"-")</f>
        <v>2036.14864864865</v>
      </c>
      <c r="G37" s="23" t="n">
        <f aca="false">C37*E37</f>
        <v>0.019644931143189</v>
      </c>
      <c r="O37" s="4" t="s">
        <v>152</v>
      </c>
      <c r="R37" s="37" t="n">
        <f aca="false">P19</f>
        <v>-6.02210974507992E-044</v>
      </c>
    </row>
    <row r="38" customFormat="false" ht="15" hidden="false" customHeight="false" outlineLevel="0" collapsed="false">
      <c r="A38" s="4" t="s">
        <v>53</v>
      </c>
      <c r="B38" s="4" t="n">
        <v>5</v>
      </c>
      <c r="C38" s="34" t="n">
        <f aca="false">INDEX(Inputs!$B$20:$E$20,1,4)</f>
        <v>125</v>
      </c>
      <c r="D38" s="22" t="n">
        <f aca="false">$B$12*($C$12+$C$6)*($D$12+$D$6)*($E$12+$E$6)*($F$12+$F$6)</f>
        <v>4608</v>
      </c>
      <c r="E38" s="24" t="n">
        <f aca="false">D38/$B$19</f>
        <v>3.9820806371329E-005</v>
      </c>
      <c r="F38" s="35" t="n">
        <f aca="false">IF(E38&gt;0,1/E38,"-")</f>
        <v>25112.5</v>
      </c>
      <c r="G38" s="23" t="n">
        <f aca="false">C38*E38</f>
        <v>0.00497760079641613</v>
      </c>
      <c r="O38" s="17" t="s">
        <v>139</v>
      </c>
      <c r="P38" s="29" t="n">
        <f aca="false">SUM(P26:P36)</f>
        <v>0.636860706681046</v>
      </c>
      <c r="Q38" s="29" t="n">
        <f aca="false">SUM(Q26:Q36)</f>
        <v>0.283134633966516</v>
      </c>
      <c r="R38" s="29" t="n">
        <f aca="false">SUM(R26:R37)</f>
        <v>0.919995340647563</v>
      </c>
    </row>
    <row r="39" customFormat="false" ht="15" hidden="false" customHeight="false" outlineLevel="0" collapsed="false">
      <c r="A39" s="4" t="s">
        <v>54</v>
      </c>
      <c r="B39" s="4" t="n">
        <v>3</v>
      </c>
      <c r="C39" s="34" t="n">
        <f aca="false">INDEX(Inputs!$B$21:$E$21,1,2)</f>
        <v>5</v>
      </c>
      <c r="D39" s="22" t="n">
        <f aca="false">$B$13*($C$13+$C$6)*($D$13+$D$6)*($E$18-($E$13+$E$6))*$F$18</f>
        <v>427680</v>
      </c>
      <c r="E39" s="24" t="n">
        <f aca="false">D39/$B$19</f>
        <v>0.00369586859133897</v>
      </c>
      <c r="F39" s="35" t="n">
        <f aca="false">IF(E39&gt;0,1/E39,"-")</f>
        <v>270.572390572391</v>
      </c>
      <c r="G39" s="23" t="n">
        <f aca="false">C39*E39</f>
        <v>0.0184793429566949</v>
      </c>
      <c r="O39" s="4" t="s">
        <v>153</v>
      </c>
      <c r="R39" s="37" t="n">
        <f aca="false">R38-P20</f>
        <v>0</v>
      </c>
    </row>
    <row r="40" customFormat="false" ht="15" hidden="false" customHeight="false" outlineLevel="0" collapsed="false">
      <c r="A40" s="4" t="s">
        <v>54</v>
      </c>
      <c r="B40" s="4" t="n">
        <v>4</v>
      </c>
      <c r="C40" s="34" t="n">
        <f aca="false">INDEX(Inputs!$B$21:$E$21,1,3)</f>
        <v>25</v>
      </c>
      <c r="D40" s="22" t="n">
        <f aca="false">$B$13*($C$13+$C$6)*($D$13+$D$6)*($E$13+$E$6)*($F$18-($F$13+$F$6))</f>
        <v>102060</v>
      </c>
      <c r="E40" s="24" t="n">
        <f aca="false">D40/$B$19</f>
        <v>0.000881968641114983</v>
      </c>
      <c r="F40" s="35" t="n">
        <f aca="false">IF(E40&gt;0,1/E40,"-")</f>
        <v>1133.82716049383</v>
      </c>
      <c r="G40" s="23" t="n">
        <f aca="false">C40*E40</f>
        <v>0.0220492160278746</v>
      </c>
    </row>
    <row r="41" customFormat="false" ht="15" hidden="false" customHeight="false" outlineLevel="0" collapsed="false">
      <c r="A41" s="4" t="s">
        <v>54</v>
      </c>
      <c r="B41" s="4" t="n">
        <v>5</v>
      </c>
      <c r="C41" s="34" t="n">
        <f aca="false">INDEX(Inputs!$B$21:$E$21,1,4)</f>
        <v>100</v>
      </c>
      <c r="D41" s="22" t="n">
        <f aca="false">$B$13*($C$13+$C$6)*($D$13+$D$6)*($E$13+$E$6)*($F$13+$F$6)</f>
        <v>14580</v>
      </c>
      <c r="E41" s="24" t="n">
        <f aca="false">D41/$B$19</f>
        <v>0.000125995520159283</v>
      </c>
      <c r="F41" s="35" t="n">
        <f aca="false">IF(E41&gt;0,1/E41,"-")</f>
        <v>7936.79012345679</v>
      </c>
      <c r="G41" s="23" t="n">
        <f aca="false">C41*E41</f>
        <v>0.0125995520159283</v>
      </c>
    </row>
    <row r="42" customFormat="false" ht="15" hidden="false" customHeight="false" outlineLevel="0" collapsed="false">
      <c r="A42" s="4" t="s">
        <v>55</v>
      </c>
      <c r="B42" s="4" t="n">
        <v>3</v>
      </c>
      <c r="C42" s="34" t="n">
        <f aca="false">INDEX(Inputs!$B$22:$E$22,1,2)</f>
        <v>5</v>
      </c>
      <c r="D42" s="22" t="n">
        <f aca="false">$B$14*($C$14+$C$6)*($D$14+$D$6)*($E$18-($E$14+$E$6))*$F$18</f>
        <v>534600</v>
      </c>
      <c r="E42" s="24" t="n">
        <f aca="false">D42/$B$19</f>
        <v>0.00461983573917372</v>
      </c>
      <c r="F42" s="35" t="n">
        <f aca="false">IF(E42&gt;0,1/E42,"-")</f>
        <v>216.457912457912</v>
      </c>
      <c r="G42" s="23" t="n">
        <f aca="false">C42*E42</f>
        <v>0.0230991786958686</v>
      </c>
      <c r="O42" s="20" t="s">
        <v>154</v>
      </c>
      <c r="P42" s="21"/>
      <c r="Q42" s="21"/>
      <c r="R42" s="21"/>
      <c r="S42" s="21"/>
    </row>
    <row r="43" customFormat="false" ht="15" hidden="false" customHeight="false" outlineLevel="0" collapsed="false">
      <c r="A43" s="4" t="s">
        <v>55</v>
      </c>
      <c r="B43" s="4" t="n">
        <v>4</v>
      </c>
      <c r="C43" s="34" t="n">
        <f aca="false">INDEX(Inputs!$B$22:$E$22,1,3)</f>
        <v>20</v>
      </c>
      <c r="D43" s="22" t="n">
        <f aca="false">$B$14*($C$14+$C$6)*($D$14+$D$6)*($E$14+$E$6)*($F$18-($F$14+$F$6))</f>
        <v>127575</v>
      </c>
      <c r="E43" s="24" t="n">
        <f aca="false">D43/$B$19</f>
        <v>0.00110246080139373</v>
      </c>
      <c r="F43" s="35" t="n">
        <f aca="false">IF(E43&gt;0,1/E43,"-")</f>
        <v>907.061728395062</v>
      </c>
      <c r="G43" s="23" t="n">
        <f aca="false">C43*E43</f>
        <v>0.0220492160278746</v>
      </c>
      <c r="O43" s="3" t="s">
        <v>155</v>
      </c>
      <c r="P43" s="3" t="s">
        <v>156</v>
      </c>
      <c r="Q43" s="3" t="s">
        <v>157</v>
      </c>
      <c r="R43" s="3" t="s">
        <v>158</v>
      </c>
    </row>
    <row r="44" customFormat="false" ht="15" hidden="false" customHeight="false" outlineLevel="0" collapsed="false">
      <c r="A44" s="4" t="s">
        <v>55</v>
      </c>
      <c r="B44" s="4" t="n">
        <v>5</v>
      </c>
      <c r="C44" s="34" t="n">
        <f aca="false">INDEX(Inputs!$B$22:$E$22,1,4)</f>
        <v>80</v>
      </c>
      <c r="D44" s="22" t="n">
        <f aca="false">$B$14*($C$14+$C$6)*($D$14+$D$6)*($E$14+$E$6)*($F$14+$F$6)</f>
        <v>18225</v>
      </c>
      <c r="E44" s="24" t="n">
        <f aca="false">D44/$B$19</f>
        <v>0.000157494400199104</v>
      </c>
      <c r="F44" s="35" t="n">
        <f aca="false">IF(E44&gt;0,1/E44,"-")</f>
        <v>6349.43209876543</v>
      </c>
      <c r="G44" s="23" t="n">
        <f aca="false">C44*E44</f>
        <v>0.0125995520159283</v>
      </c>
      <c r="O44" s="4" t="s">
        <v>159</v>
      </c>
      <c r="P44" s="6" t="n">
        <v>0.919995340647562</v>
      </c>
      <c r="Q44" s="6" t="n">
        <v>0.9201198046</v>
      </c>
      <c r="R44" s="4" t="s">
        <v>235</v>
      </c>
    </row>
    <row r="45" customFormat="false" ht="15" hidden="false" customHeight="false" outlineLevel="0" collapsed="false">
      <c r="A45" s="4" t="s">
        <v>56</v>
      </c>
      <c r="B45" s="4" t="n">
        <v>3</v>
      </c>
      <c r="C45" s="34" t="n">
        <f aca="false">INDEX(Inputs!$B$23:$E$23,1,2)</f>
        <v>5</v>
      </c>
      <c r="D45" s="22" t="n">
        <f aca="false">$B$15*($C$15+$C$6)*($D$15+$D$6)*($E$18-($E$15+$E$6))*$F$18</f>
        <v>660000</v>
      </c>
      <c r="E45" s="24" t="n">
        <f aca="false">D45/$B$19</f>
        <v>0.00570350091256015</v>
      </c>
      <c r="F45" s="35" t="n">
        <f aca="false">IF(E45&gt;0,1/E45,"-")</f>
        <v>175.330909090909</v>
      </c>
      <c r="G45" s="23" t="n">
        <f aca="false">C45*E45</f>
        <v>0.0285175045628007</v>
      </c>
      <c r="O45" s="4" t="s">
        <v>161</v>
      </c>
      <c r="Q45" s="13" t="s">
        <v>236</v>
      </c>
      <c r="R45" s="4" t="s">
        <v>163</v>
      </c>
    </row>
    <row r="46" customFormat="false" ht="15" hidden="false" customHeight="false" outlineLevel="0" collapsed="false">
      <c r="A46" s="4" t="s">
        <v>56</v>
      </c>
      <c r="B46" s="4" t="n">
        <v>4</v>
      </c>
      <c r="C46" s="34" t="n">
        <f aca="false">INDEX(Inputs!$B$23:$E$23,1,3)</f>
        <v>15</v>
      </c>
      <c r="D46" s="22" t="n">
        <f aca="false">$B$15*($C$15+$C$6)*($D$15+$D$6)*($E$15+$E$6)*($F$18-($F$15+$F$6))</f>
        <v>157500</v>
      </c>
      <c r="E46" s="24" t="n">
        <f aca="false">D46/$B$19</f>
        <v>0.00136106271777004</v>
      </c>
      <c r="F46" s="35" t="n">
        <f aca="false">IF(E46&gt;0,1/E46,"-")</f>
        <v>734.72</v>
      </c>
      <c r="G46" s="23" t="n">
        <f aca="false">C46*E46</f>
        <v>0.0204159407665505</v>
      </c>
      <c r="O46" s="4" t="s">
        <v>164</v>
      </c>
      <c r="P46" s="10" t="n">
        <v>0.53107262112162</v>
      </c>
      <c r="Q46" s="10" t="n">
        <v>0.531088736</v>
      </c>
      <c r="R46" s="4" t="s">
        <v>237</v>
      </c>
    </row>
    <row r="47" customFormat="false" ht="15" hidden="false" customHeight="false" outlineLevel="0" collapsed="false">
      <c r="A47" s="4" t="s">
        <v>56</v>
      </c>
      <c r="B47" s="4" t="n">
        <v>5</v>
      </c>
      <c r="C47" s="34" t="n">
        <f aca="false">INDEX(Inputs!$B$23:$E$23,1,4)</f>
        <v>60</v>
      </c>
      <c r="D47" s="22" t="n">
        <f aca="false">$B$15*($C$15+$C$6)*($D$15+$D$6)*($E$15+$E$6)*($F$15+$F$6)</f>
        <v>22500</v>
      </c>
      <c r="E47" s="24" t="n">
        <f aca="false">D47/$B$19</f>
        <v>0.000194437531110005</v>
      </c>
      <c r="F47" s="35" t="n">
        <f aca="false">IF(E47&gt;0,1/E47,"-")</f>
        <v>5143.04</v>
      </c>
      <c r="G47" s="23" t="n">
        <f aca="false">C47*E47</f>
        <v>0.0116662518666003</v>
      </c>
      <c r="O47" s="4" t="s">
        <v>166</v>
      </c>
      <c r="P47" s="25" t="n">
        <v>0.00839036834245893</v>
      </c>
      <c r="Q47" s="25" t="n">
        <v>0.008391104</v>
      </c>
      <c r="R47" s="4" t="s">
        <v>238</v>
      </c>
    </row>
    <row r="48" customFormat="false" ht="15" hidden="false" customHeight="false" outlineLevel="0" collapsed="false">
      <c r="A48" s="4" t="s">
        <v>57</v>
      </c>
      <c r="B48" s="4" t="n">
        <v>3</v>
      </c>
      <c r="C48" s="34" t="n">
        <f aca="false">INDEX(Inputs!$B$24:$E$24,1,2)</f>
        <v>4</v>
      </c>
      <c r="D48" s="22" t="n">
        <f aca="false">$B$16*($C$16+$C$6)*($D$16+$D$6)*($E$18-($E$16+$E$6))*$F$18</f>
        <v>768000</v>
      </c>
      <c r="E48" s="24" t="n">
        <f aca="false">D48/$B$19</f>
        <v>0.00663680106188817</v>
      </c>
      <c r="F48" s="35" t="n">
        <f aca="false">IF(E48&gt;0,1/E48,"-")</f>
        <v>150.675</v>
      </c>
      <c r="G48" s="23" t="n">
        <f aca="false">C48*E48</f>
        <v>0.0265472042475527</v>
      </c>
      <c r="O48" s="4" t="s">
        <v>168</v>
      </c>
      <c r="P48" s="38" t="n">
        <v>10.6373748403656</v>
      </c>
      <c r="Q48" s="38" t="n">
        <v>10.6361451365637</v>
      </c>
    </row>
    <row r="49" customFormat="false" ht="15" hidden="false" customHeight="false" outlineLevel="0" collapsed="false">
      <c r="A49" s="4" t="s">
        <v>57</v>
      </c>
      <c r="B49" s="4" t="n">
        <v>4</v>
      </c>
      <c r="C49" s="34" t="n">
        <f aca="false">INDEX(Inputs!$B$24:$E$24,1,3)</f>
        <v>10</v>
      </c>
      <c r="D49" s="22" t="n">
        <f aca="false">$B$16*($C$16+$C$6)*($D$16+$D$6)*($E$16+$E$6)*($F$18-($F$16+$F$6))</f>
        <v>204000</v>
      </c>
      <c r="E49" s="24" t="n">
        <f aca="false">D49/$B$19</f>
        <v>0.00176290028206405</v>
      </c>
      <c r="F49" s="35" t="n">
        <f aca="false">IF(E49&gt;0,1/E49,"-")</f>
        <v>567.247058823529</v>
      </c>
      <c r="G49" s="23" t="n">
        <f aca="false">C49*E49</f>
        <v>0.0176290028206405</v>
      </c>
      <c r="O49" s="4" t="s">
        <v>169</v>
      </c>
      <c r="P49" s="38" t="n">
        <v>4.60827300482445</v>
      </c>
      <c r="Q49" s="38" t="n">
        <v>4.60594463395652</v>
      </c>
    </row>
    <row r="50" customFormat="false" ht="15" hidden="false" customHeight="false" outlineLevel="0" collapsed="false">
      <c r="A50" s="4" t="s">
        <v>57</v>
      </c>
      <c r="B50" s="4" t="n">
        <v>5</v>
      </c>
      <c r="C50" s="34" t="n">
        <f aca="false">INDEX(Inputs!$B$24:$E$24,1,4)</f>
        <v>50</v>
      </c>
      <c r="D50" s="22" t="n">
        <f aca="false">$B$16*($C$16+$C$6)*($D$16+$D$6)*($E$16+$E$6)*($F$16+$F$6)</f>
        <v>36000</v>
      </c>
      <c r="E50" s="24" t="n">
        <f aca="false">D50/$B$19</f>
        <v>0.000311100049776008</v>
      </c>
      <c r="F50" s="35" t="n">
        <f aca="false">IF(E50&gt;0,1/E50,"-")</f>
        <v>3214.4</v>
      </c>
      <c r="G50" s="23" t="n">
        <f aca="false">C50*E50</f>
        <v>0.0155550024888004</v>
      </c>
      <c r="O50" s="4" t="s">
        <v>170</v>
      </c>
      <c r="P50" s="38" t="n">
        <v>7.58060909293621</v>
      </c>
      <c r="Q50" s="38" t="n">
        <v>7.57677892285848</v>
      </c>
    </row>
    <row r="51" customFormat="false" ht="15" hidden="false" customHeight="false" outlineLevel="0" collapsed="false">
      <c r="A51" s="4" t="s">
        <v>58</v>
      </c>
      <c r="B51" s="4" t="n">
        <v>3</v>
      </c>
      <c r="C51" s="34" t="n">
        <f aca="false">INDEX(Inputs!$B$25:$E$25,1,2)</f>
        <v>4</v>
      </c>
      <c r="D51" s="22" t="n">
        <f aca="false">$B$17*($C$17+$C$6)*($D$17+$D$6)*($E$18-($E$17+$E$6))*$F$18</f>
        <v>1050280</v>
      </c>
      <c r="E51" s="24" t="n">
        <f aca="false">D51/$B$19</f>
        <v>0.00907617111885405</v>
      </c>
      <c r="F51" s="35" t="n">
        <f aca="false">IF(E51&gt;0,1/E51,"-")</f>
        <v>110.178619034924</v>
      </c>
      <c r="G51" s="23" t="n">
        <f aca="false">C51*E51</f>
        <v>0.0363046844754162</v>
      </c>
      <c r="O51" s="4" t="s">
        <v>171</v>
      </c>
      <c r="P51" s="11" t="n">
        <v>114</v>
      </c>
    </row>
    <row r="52" customFormat="false" ht="15" hidden="false" customHeight="false" outlineLevel="0" collapsed="false">
      <c r="A52" s="4" t="s">
        <v>58</v>
      </c>
      <c r="B52" s="4" t="n">
        <v>4</v>
      </c>
      <c r="C52" s="34" t="n">
        <f aca="false">INDEX(Inputs!$B$25:$E$25,1,3)</f>
        <v>10</v>
      </c>
      <c r="D52" s="22" t="n">
        <f aca="false">$B$17*($C$17+$C$6)*($D$17+$D$6)*($E$17+$E$6)*($F$18-($F$17+$F$6))</f>
        <v>307461</v>
      </c>
      <c r="E52" s="24" t="n">
        <f aca="false">D52/$B$19</f>
        <v>0.00265697590011614</v>
      </c>
      <c r="F52" s="35" t="n">
        <f aca="false">IF(E52&gt;0,1/E52,"-")</f>
        <v>376.367734444369</v>
      </c>
      <c r="G52" s="23" t="n">
        <f aca="false">C52*E52</f>
        <v>0.0265697590011614</v>
      </c>
      <c r="O52" s="4" t="s">
        <v>172</v>
      </c>
      <c r="P52" s="11" t="n">
        <v>241.6</v>
      </c>
    </row>
    <row r="53" customFormat="false" ht="15" hidden="false" customHeight="false" outlineLevel="0" collapsed="false">
      <c r="A53" s="4" t="s">
        <v>58</v>
      </c>
      <c r="B53" s="4" t="n">
        <v>5</v>
      </c>
      <c r="C53" s="34" t="n">
        <f aca="false">INDEX(Inputs!$B$25:$E$25,1,4)</f>
        <v>40</v>
      </c>
      <c r="D53" s="22" t="n">
        <f aca="false">$B$17*($C$17+$C$6)*($D$17+$D$6)*($E$17+$E$6)*($F$17+$F$6)</f>
        <v>65219</v>
      </c>
      <c r="E53" s="24" t="n">
        <f aca="false">D53/$B$19</f>
        <v>0.000563600948509485</v>
      </c>
      <c r="F53" s="35" t="n">
        <f aca="false">IF(E53&gt;0,1/E53,"-")</f>
        <v>1774.30503380917</v>
      </c>
      <c r="G53" s="23" t="n">
        <f aca="false">C53*E53</f>
        <v>0.0225440379403794</v>
      </c>
      <c r="O53" s="4" t="s">
        <v>173</v>
      </c>
      <c r="P53" s="31" t="n">
        <v>1.21977072736367E-045</v>
      </c>
      <c r="Q53" s="31" t="n">
        <v>0</v>
      </c>
      <c r="R53" s="4" t="s">
        <v>174</v>
      </c>
    </row>
    <row r="54" customFormat="false" ht="15" hidden="false" customHeight="false" outlineLevel="0" collapsed="false">
      <c r="A54" s="17" t="s">
        <v>175</v>
      </c>
      <c r="G54" s="29" t="n">
        <f aca="false">SUM(G23:G53)</f>
        <v>0.615941717134008</v>
      </c>
      <c r="O54" s="4" t="s">
        <v>176</v>
      </c>
      <c r="Q54" s="39" t="n">
        <v>709.7</v>
      </c>
    </row>
    <row r="55" customFormat="false" ht="15" hidden="false" customHeight="false" outlineLevel="0" collapsed="false">
      <c r="A55" s="4" t="s">
        <v>177</v>
      </c>
      <c r="G55" s="24" t="n">
        <f aca="false">SUM(E23:E53)</f>
        <v>0.0515534262485482</v>
      </c>
    </row>
    <row r="56" customFormat="false" ht="15" hidden="false" customHeight="false" outlineLevel="0" collapsed="false">
      <c r="O56" s="3" t="s">
        <v>178</v>
      </c>
      <c r="P56" s="3" t="s">
        <v>179</v>
      </c>
      <c r="Q56" s="3" t="s">
        <v>180</v>
      </c>
      <c r="R56" s="3" t="s">
        <v>181</v>
      </c>
    </row>
    <row r="57" customFormat="false" ht="15" hidden="false" customHeight="false" outlineLevel="0" collapsed="false">
      <c r="A57" s="20" t="s">
        <v>182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O57" s="4" t="s">
        <v>183</v>
      </c>
      <c r="P57" s="25" t="n">
        <v>0.468927378878381</v>
      </c>
      <c r="Q57" s="25" t="n">
        <v>0.468911264</v>
      </c>
      <c r="R57" s="40" t="n">
        <v>2.13252636771153</v>
      </c>
    </row>
    <row r="58" customFormat="false" ht="23.85" hidden="false" customHeight="false" outlineLevel="0" collapsed="false">
      <c r="A58" s="3" t="s">
        <v>44</v>
      </c>
      <c r="B58" s="3" t="s">
        <v>129</v>
      </c>
      <c r="C58" s="3" t="s">
        <v>130</v>
      </c>
      <c r="D58" s="3" t="s">
        <v>131</v>
      </c>
      <c r="E58" s="3" t="s">
        <v>132</v>
      </c>
      <c r="F58" s="3" t="s">
        <v>133</v>
      </c>
      <c r="G58" s="3" t="s">
        <v>134</v>
      </c>
      <c r="O58" s="4" t="s">
        <v>184</v>
      </c>
      <c r="P58" s="25" t="n">
        <v>0.343454161135999</v>
      </c>
      <c r="Q58" s="25" t="n">
        <v>0.343446552</v>
      </c>
      <c r="R58" s="40" t="n">
        <v>2.91159669369685</v>
      </c>
    </row>
    <row r="59" customFormat="false" ht="15" hidden="false" customHeight="false" outlineLevel="0" collapsed="false">
      <c r="A59" s="4" t="s">
        <v>49</v>
      </c>
      <c r="B59" s="4" t="n">
        <v>2</v>
      </c>
      <c r="C59" s="34" t="n">
        <f aca="false">INDEX(Inputs!$B$16:$E$16,1,1)</f>
        <v>2</v>
      </c>
      <c r="D59" s="22" t="n">
        <f aca="false">$H$8*($I$8+$I$6)*($J$18-($J$8+$J$6))*$K$18*$L$18</f>
        <v>436968</v>
      </c>
      <c r="E59" s="24" t="n">
        <f aca="false">D59/$H$19</f>
        <v>0.00961734174638714</v>
      </c>
      <c r="F59" s="35" t="n">
        <f aca="false">IF(E59&gt;0,1/E59,"-")</f>
        <v>103.978835978836</v>
      </c>
      <c r="G59" s="23" t="n">
        <f aca="false">C59*E59</f>
        <v>0.0192346834927743</v>
      </c>
      <c r="O59" s="4" t="s">
        <v>185</v>
      </c>
      <c r="P59" s="25" t="n">
        <v>0.0912089520767657</v>
      </c>
      <c r="Q59" s="25" t="n">
        <v>0.091207276</v>
      </c>
      <c r="R59" s="40" t="n">
        <v>10.9638360844049</v>
      </c>
    </row>
    <row r="60" customFormat="false" ht="15" hidden="false" customHeight="false" outlineLevel="0" collapsed="false">
      <c r="A60" s="4" t="s">
        <v>49</v>
      </c>
      <c r="B60" s="4" t="n">
        <v>3</v>
      </c>
      <c r="C60" s="34" t="n">
        <f aca="false">INDEX(Inputs!$B$16:$E$16,1,2)</f>
        <v>50</v>
      </c>
      <c r="D60" s="22" t="n">
        <f aca="false">$H$8*($I$8+$I$6)*($J$8+$J$6)*($K$18-($K$8+$K$6))*$L$18</f>
        <v>89964</v>
      </c>
      <c r="E60" s="24" t="n">
        <f aca="false">D60/$H$19</f>
        <v>0.00198004094778559</v>
      </c>
      <c r="F60" s="35" t="n">
        <f aca="false">IF(E60&gt;0,1/E60,"-")</f>
        <v>505.040060468632</v>
      </c>
      <c r="G60" s="23" t="n">
        <f aca="false">C60*E60</f>
        <v>0.0990020473892793</v>
      </c>
      <c r="O60" s="4" t="s">
        <v>186</v>
      </c>
      <c r="P60" s="25" t="n">
        <v>0.0701538388522327</v>
      </c>
      <c r="Q60" s="25" t="n">
        <v>0.070160792</v>
      </c>
      <c r="R60" s="40" t="n">
        <v>14.2543874485092</v>
      </c>
    </row>
    <row r="61" customFormat="false" ht="15" hidden="false" customHeight="false" outlineLevel="0" collapsed="false">
      <c r="A61" s="4" t="s">
        <v>49</v>
      </c>
      <c r="B61" s="4" t="n">
        <v>4</v>
      </c>
      <c r="C61" s="34" t="n">
        <f aca="false">INDEX(Inputs!$B$16:$E$16,1,3)</f>
        <v>250</v>
      </c>
      <c r="D61" s="22" t="n">
        <f aca="false">$H$8*($I$8+$I$6)*($J$8+$J$6)*($K$8+$K$6)*($L$18-($L$8+$L$6))</f>
        <v>21952</v>
      </c>
      <c r="E61" s="24" t="n">
        <f aca="false">D61/$H$19</f>
        <v>0.000483147246518487</v>
      </c>
      <c r="F61" s="35" t="n">
        <f aca="false">IF(E61&gt;0,1/E61,"-")</f>
        <v>2069.76239067055</v>
      </c>
      <c r="G61" s="23" t="n">
        <f aca="false">C61*E61</f>
        <v>0.120786811629622</v>
      </c>
      <c r="O61" s="4" t="s">
        <v>187</v>
      </c>
      <c r="P61" s="25" t="n">
        <v>0.0148406651446238</v>
      </c>
      <c r="Q61" s="25" t="n">
        <v>0.014852316</v>
      </c>
      <c r="R61" s="40" t="n">
        <v>67.3824245918155</v>
      </c>
    </row>
    <row r="62" customFormat="false" ht="15" hidden="false" customHeight="false" outlineLevel="0" collapsed="false">
      <c r="A62" s="4" t="s">
        <v>49</v>
      </c>
      <c r="B62" s="4" t="n">
        <v>5</v>
      </c>
      <c r="C62" s="34" t="n">
        <f aca="false">INDEX(Inputs!$B$16:$E$16,1,4)</f>
        <v>1000</v>
      </c>
      <c r="D62" s="22" t="n">
        <f aca="false">$H$8*($I$8+$I$6)*($J$8+$J$6)*($K$8+$K$6)*($L$8+$L$6)</f>
        <v>1372</v>
      </c>
      <c r="E62" s="24" t="n">
        <f aca="false">D62/$H$19</f>
        <v>3.01967029074055E-005</v>
      </c>
      <c r="F62" s="35" t="n">
        <f aca="false">IF(E62&gt;0,1/E62,"-")</f>
        <v>33116.1982507289</v>
      </c>
      <c r="G62" s="23" t="n">
        <f aca="false">C62*E62</f>
        <v>0.0301967029074055</v>
      </c>
      <c r="O62" s="4" t="s">
        <v>188</v>
      </c>
      <c r="P62" s="25" t="n">
        <v>0.00527130805594134</v>
      </c>
      <c r="Q62" s="25" t="n">
        <v>0.005278772</v>
      </c>
      <c r="R62" s="40" t="n">
        <v>189.706234086033</v>
      </c>
    </row>
    <row r="63" customFormat="false" ht="15" hidden="false" customHeight="false" outlineLevel="0" collapsed="false">
      <c r="A63" s="4" t="s">
        <v>50</v>
      </c>
      <c r="B63" s="4" t="n">
        <v>3</v>
      </c>
      <c r="C63" s="34" t="n">
        <f aca="false">INDEX(Inputs!$B$17:$E$17,1,2)</f>
        <v>30</v>
      </c>
      <c r="D63" s="22" t="n">
        <f aca="false">$H$9*($I$9+$I$6)*($J$9+$J$6)*($K$18-($K$9+$K$6))*$L$18</f>
        <v>89964</v>
      </c>
      <c r="E63" s="24" t="n">
        <f aca="false">D63/$H$19</f>
        <v>0.00198004094778559</v>
      </c>
      <c r="F63" s="35" t="n">
        <f aca="false">IF(E63&gt;0,1/E63,"-")</f>
        <v>505.040060468632</v>
      </c>
      <c r="G63" s="23" t="n">
        <f aca="false">C63*E63</f>
        <v>0.0594012284335676</v>
      </c>
      <c r="O63" s="4" t="s">
        <v>189</v>
      </c>
      <c r="P63" s="25" t="n">
        <v>0.00425902823532402</v>
      </c>
      <c r="Q63" s="25" t="n">
        <v>0.004259948</v>
      </c>
      <c r="R63" s="40" t="n">
        <v>234.795344089547</v>
      </c>
    </row>
    <row r="64" customFormat="false" ht="15" hidden="false" customHeight="false" outlineLevel="0" collapsed="false">
      <c r="A64" s="4" t="s">
        <v>50</v>
      </c>
      <c r="B64" s="4" t="n">
        <v>4</v>
      </c>
      <c r="C64" s="34" t="n">
        <f aca="false">INDEX(Inputs!$B$17:$E$17,1,3)</f>
        <v>120</v>
      </c>
      <c r="D64" s="22" t="n">
        <f aca="false">$H$9*($I$9+$I$6)*($J$9+$J$6)*($K$9+$K$6)*($L$18-($L$9+$L$6))</f>
        <v>21952</v>
      </c>
      <c r="E64" s="24" t="n">
        <f aca="false">D64/$H$19</f>
        <v>0.000483147246518487</v>
      </c>
      <c r="F64" s="35" t="n">
        <f aca="false">IF(E64&gt;0,1/E64,"-")</f>
        <v>2069.76239067055</v>
      </c>
      <c r="G64" s="23" t="n">
        <f aca="false">C64*E64</f>
        <v>0.0579776695822185</v>
      </c>
      <c r="O64" s="4" t="s">
        <v>190</v>
      </c>
      <c r="P64" s="25" t="n">
        <v>0.00154844609043038</v>
      </c>
      <c r="Q64" s="25" t="n">
        <v>0.00154608</v>
      </c>
      <c r="R64" s="40" t="n">
        <v>645.808727975838</v>
      </c>
    </row>
    <row r="65" customFormat="false" ht="15" hidden="false" customHeight="false" outlineLevel="0" collapsed="false">
      <c r="A65" s="4" t="s">
        <v>50</v>
      </c>
      <c r="B65" s="4" t="n">
        <v>5</v>
      </c>
      <c r="C65" s="34" t="n">
        <f aca="false">INDEX(Inputs!$B$17:$E$17,1,4)</f>
        <v>500</v>
      </c>
      <c r="D65" s="22" t="n">
        <f aca="false">$H$9*($I$9+$I$6)*($J$9+$J$6)*($K$9+$K$6)*($L$9+$L$6)</f>
        <v>1372</v>
      </c>
      <c r="E65" s="24" t="n">
        <f aca="false">D65/$H$19</f>
        <v>3.01967029074055E-005</v>
      </c>
      <c r="F65" s="35" t="n">
        <f aca="false">IF(E65&gt;0,1/E65,"-")</f>
        <v>33116.1982507289</v>
      </c>
      <c r="G65" s="23" t="n">
        <f aca="false">C65*E65</f>
        <v>0.0150983514537027</v>
      </c>
      <c r="O65" s="4" t="s">
        <v>191</v>
      </c>
      <c r="P65" s="25" t="n">
        <v>0.000321020347156284</v>
      </c>
      <c r="Q65" s="25" t="n">
        <v>0.000321888</v>
      </c>
      <c r="R65" s="40" t="n">
        <v>3115.06734342033</v>
      </c>
    </row>
    <row r="66" customFormat="false" ht="15" hidden="false" customHeight="false" outlineLevel="0" collapsed="false">
      <c r="A66" s="4" t="s">
        <v>51</v>
      </c>
      <c r="B66" s="4" t="n">
        <v>3</v>
      </c>
      <c r="C66" s="34" t="n">
        <f aca="false">INDEX(Inputs!$B$18:$E$18,1,2)</f>
        <v>20</v>
      </c>
      <c r="D66" s="22" t="n">
        <f aca="false">$H$10*($I$10+$I$6)*($J$10+$J$6)*($K$18-($K$10+$K$6))*$L$18</f>
        <v>134946</v>
      </c>
      <c r="E66" s="24" t="n">
        <f aca="false">D66/$H$19</f>
        <v>0.00297006142167838</v>
      </c>
      <c r="F66" s="35" t="n">
        <f aca="false">IF(E66&gt;0,1/E66,"-")</f>
        <v>336.693373645755</v>
      </c>
      <c r="G66" s="23" t="n">
        <f aca="false">C66*E66</f>
        <v>0.0594012284335676</v>
      </c>
      <c r="O66" s="4" t="s">
        <v>192</v>
      </c>
      <c r="P66" s="25" t="n">
        <v>1.49132913467812E-005</v>
      </c>
      <c r="Q66" s="25" t="n">
        <v>1.4824E-005</v>
      </c>
      <c r="R66" s="40" t="n">
        <v>67054.2790821178</v>
      </c>
    </row>
    <row r="67" customFormat="false" ht="15" hidden="false" customHeight="false" outlineLevel="0" collapsed="false">
      <c r="A67" s="4" t="s">
        <v>51</v>
      </c>
      <c r="B67" s="4" t="n">
        <v>4</v>
      </c>
      <c r="C67" s="34" t="n">
        <f aca="false">INDEX(Inputs!$B$18:$E$18,1,3)</f>
        <v>80</v>
      </c>
      <c r="D67" s="22" t="n">
        <f aca="false">$H$10*($I$10+$I$6)*($J$10+$J$6)*($K$10+$K$6)*($L$18-($L$10+$L$6))</f>
        <v>31899</v>
      </c>
      <c r="E67" s="24" t="n">
        <f aca="false">D67/$H$19</f>
        <v>0.000702073342597177</v>
      </c>
      <c r="F67" s="35" t="n">
        <f aca="false">IF(E67&gt;0,1/E67,"-")</f>
        <v>1424.35261293457</v>
      </c>
      <c r="G67" s="23" t="n">
        <f aca="false">C67*E67</f>
        <v>0.0561658674077742</v>
      </c>
      <c r="O67" s="4" t="s">
        <v>193</v>
      </c>
      <c r="P67" s="25" t="n">
        <v>2.87875977976339E-007</v>
      </c>
      <c r="Q67" s="25" t="n">
        <v>2.88E-007</v>
      </c>
      <c r="R67" s="40" t="n">
        <v>3473718.11649457</v>
      </c>
    </row>
    <row r="68" customFormat="false" ht="15" hidden="false" customHeight="false" outlineLevel="0" collapsed="false">
      <c r="A68" s="4" t="s">
        <v>51</v>
      </c>
      <c r="B68" s="4" t="n">
        <v>5</v>
      </c>
      <c r="C68" s="34" t="n">
        <f aca="false">INDEX(Inputs!$B$18:$E$18,1,4)</f>
        <v>300</v>
      </c>
      <c r="D68" s="22" t="n">
        <f aca="false">$H$10*($I$10+$I$6)*($J$10+$J$6)*($K$10+$K$6)*($L$10+$L$6)</f>
        <v>3087</v>
      </c>
      <c r="E68" s="24" t="n">
        <f aca="false">D68/$H$19</f>
        <v>6.79425815416623E-005</v>
      </c>
      <c r="F68" s="35" t="n">
        <f aca="false">IF(E68&gt;0,1/E68,"-")</f>
        <v>14718.3103336573</v>
      </c>
      <c r="G68" s="23" t="n">
        <f aca="false">C68*E68</f>
        <v>0.0203827744624987</v>
      </c>
      <c r="O68" s="4" t="s">
        <v>194</v>
      </c>
      <c r="P68" s="25" t="n">
        <v>1.58213463623052E-011</v>
      </c>
      <c r="Q68" s="25" t="n">
        <v>0</v>
      </c>
      <c r="R68" s="40" t="n">
        <v>63205746028.1971</v>
      </c>
    </row>
    <row r="69" customFormat="false" ht="15" hidden="false" customHeight="false" outlineLevel="0" collapsed="false">
      <c r="A69" s="4" t="s">
        <v>52</v>
      </c>
      <c r="B69" s="4" t="n">
        <v>3</v>
      </c>
      <c r="C69" s="34" t="n">
        <f aca="false">INDEX(Inputs!$B$19:$E$19,1,2)</f>
        <v>15</v>
      </c>
      <c r="D69" s="22" t="n">
        <f aca="false">$H$11*($I$11+$I$6)*($J$11+$J$6)*($K$18-($K$11+$K$6))*$L$18</f>
        <v>169728</v>
      </c>
      <c r="E69" s="24" t="n">
        <f aca="false">D69/$H$19</f>
        <v>0.00373558745704673</v>
      </c>
      <c r="F69" s="35" t="n">
        <f aca="false">IF(E69&gt;0,1/E69,"-")</f>
        <v>267.695512820513</v>
      </c>
      <c r="G69" s="23" t="n">
        <f aca="false">C69*E69</f>
        <v>0.056033811855701</v>
      </c>
      <c r="O69" s="4" t="s">
        <v>195</v>
      </c>
      <c r="P69" s="25" t="n">
        <v>3.89272567190052E-024</v>
      </c>
      <c r="Q69" s="25" t="n">
        <v>0</v>
      </c>
      <c r="R69" s="40" t="n">
        <v>2.56889409705507E+023</v>
      </c>
    </row>
    <row r="70" customFormat="false" ht="15" hidden="false" customHeight="false" outlineLevel="0" collapsed="false">
      <c r="A70" s="4" t="s">
        <v>52</v>
      </c>
      <c r="B70" s="4" t="n">
        <v>4</v>
      </c>
      <c r="C70" s="34" t="n">
        <f aca="false">INDEX(Inputs!$B$19:$E$19,1,3)</f>
        <v>50</v>
      </c>
      <c r="D70" s="22" t="n">
        <f aca="false">$H$11*($I$11+$I$6)*($J$11+$J$6)*($K$11+$K$6)*($L$18-($L$11+$L$6))</f>
        <v>47616</v>
      </c>
      <c r="E70" s="24" t="n">
        <f aca="false">D70/$H$19</f>
        <v>0.00104799286125293</v>
      </c>
      <c r="F70" s="35" t="n">
        <f aca="false">IF(E70&gt;0,1/E70,"-")</f>
        <v>954.20497311828</v>
      </c>
      <c r="G70" s="23" t="n">
        <f aca="false">C70*E70</f>
        <v>0.0523996430626464</v>
      </c>
      <c r="O70" s="4" t="s">
        <v>196</v>
      </c>
      <c r="P70" s="25" t="n">
        <v>1.21977072736367E-045</v>
      </c>
      <c r="Q70" s="25" t="n">
        <v>0</v>
      </c>
      <c r="R70" s="40" t="n">
        <v>8.19826199765701E+044</v>
      </c>
    </row>
    <row r="71" customFormat="false" ht="15" hidden="false" customHeight="false" outlineLevel="0" collapsed="false">
      <c r="A71" s="4" t="s">
        <v>52</v>
      </c>
      <c r="B71" s="4" t="n">
        <v>5</v>
      </c>
      <c r="C71" s="34" t="n">
        <f aca="false">INDEX(Inputs!$B$19:$E$19,1,4)</f>
        <v>150</v>
      </c>
      <c r="D71" s="22" t="n">
        <f aca="false">$H$11*($I$11+$I$6)*($J$11+$J$6)*($K$11+$K$6)*($L$11+$L$6)</f>
        <v>4608</v>
      </c>
      <c r="E71" s="24" t="n">
        <f aca="false">D71/$H$19</f>
        <v>0.000101418663992219</v>
      </c>
      <c r="F71" s="35" t="n">
        <f aca="false">IF(E71&gt;0,1/E71,"-")</f>
        <v>9860.11805555556</v>
      </c>
      <c r="G71" s="23" t="n">
        <f aca="false">C71*E71</f>
        <v>0.0152127995988328</v>
      </c>
    </row>
    <row r="72" customFormat="false" ht="15" hidden="false" customHeight="false" outlineLevel="0" collapsed="false">
      <c r="A72" s="4" t="s">
        <v>53</v>
      </c>
      <c r="B72" s="4" t="n">
        <v>3</v>
      </c>
      <c r="C72" s="34" t="n">
        <f aca="false">INDEX(Inputs!$B$20:$E$20,1,2)</f>
        <v>10</v>
      </c>
      <c r="D72" s="22" t="n">
        <f aca="false">$H$12*($I$12+$I$6)*($J$12+$J$6)*($K$18-($K$12+$K$6))*$L$18</f>
        <v>169728</v>
      </c>
      <c r="E72" s="24" t="n">
        <f aca="false">D72/$H$19</f>
        <v>0.00373558745704673</v>
      </c>
      <c r="F72" s="35" t="n">
        <f aca="false">IF(E72&gt;0,1/E72,"-")</f>
        <v>267.695512820513</v>
      </c>
      <c r="G72" s="23" t="n">
        <f aca="false">C72*E72</f>
        <v>0.0373558745704673</v>
      </c>
      <c r="O72" s="3" t="s">
        <v>197</v>
      </c>
      <c r="P72" s="3" t="s">
        <v>198</v>
      </c>
      <c r="Q72" s="3" t="s">
        <v>199</v>
      </c>
      <c r="R72" s="3" t="s">
        <v>200</v>
      </c>
    </row>
    <row r="73" customFormat="false" ht="15" hidden="false" customHeight="false" outlineLevel="0" collapsed="false">
      <c r="A73" s="4" t="s">
        <v>53</v>
      </c>
      <c r="B73" s="4" t="n">
        <v>4</v>
      </c>
      <c r="C73" s="34" t="n">
        <f aca="false">INDEX(Inputs!$B$20:$E$20,1,3)</f>
        <v>40</v>
      </c>
      <c r="D73" s="22" t="n">
        <f aca="false">$H$12*($I$12+$I$6)*($J$12+$J$6)*($K$12+$K$6)*($L$18-($L$12+$L$6))</f>
        <v>47616</v>
      </c>
      <c r="E73" s="24" t="n">
        <f aca="false">D73/$H$19</f>
        <v>0.00104799286125293</v>
      </c>
      <c r="F73" s="35" t="n">
        <f aca="false">IF(E73&gt;0,1/E73,"-")</f>
        <v>954.20497311828</v>
      </c>
      <c r="G73" s="23" t="n">
        <f aca="false">C73*E73</f>
        <v>0.0419197144501172</v>
      </c>
      <c r="O73" s="41" t="n">
        <v>1000</v>
      </c>
      <c r="P73" s="36" t="n">
        <f aca="false">1.645*P49/SQRT(O73)</f>
        <v>0.239719907850615</v>
      </c>
      <c r="Q73" s="36" t="n">
        <f aca="false">1.96*P49/SQRT(O73)</f>
        <v>0.285623719992222</v>
      </c>
      <c r="R73" s="4" t="str">
        <f aca="false">TEXT(P20-Q73,"0.00%")&amp;" – "&amp;TEXT(P20+Q73,"0.00%")</f>
        <v>63.44% – 120.56%</v>
      </c>
    </row>
    <row r="74" customFormat="false" ht="15" hidden="false" customHeight="false" outlineLevel="0" collapsed="false">
      <c r="A74" s="4" t="s">
        <v>53</v>
      </c>
      <c r="B74" s="4" t="n">
        <v>5</v>
      </c>
      <c r="C74" s="34" t="n">
        <f aca="false">INDEX(Inputs!$B$20:$E$20,1,4)</f>
        <v>125</v>
      </c>
      <c r="D74" s="22" t="n">
        <f aca="false">$H$12*($I$12+$I$6)*($J$12+$J$6)*($K$12+$K$6)*($L$12+$L$6)</f>
        <v>4608</v>
      </c>
      <c r="E74" s="24" t="n">
        <f aca="false">D74/$H$19</f>
        <v>0.000101418663992219</v>
      </c>
      <c r="F74" s="35" t="n">
        <f aca="false">IF(E74&gt;0,1/E74,"-")</f>
        <v>9860.11805555556</v>
      </c>
      <c r="G74" s="23" t="n">
        <f aca="false">C74*E74</f>
        <v>0.0126773329990274</v>
      </c>
      <c r="O74" s="41" t="n">
        <v>10000</v>
      </c>
      <c r="P74" s="36" t="n">
        <f aca="false">1.645*P49/SQRT(O74)</f>
        <v>0.0758060909293621</v>
      </c>
      <c r="Q74" s="36" t="n">
        <f aca="false">1.96*P49/SQRT(O74)</f>
        <v>0.0903221508945591</v>
      </c>
      <c r="R74" s="4" t="str">
        <f aca="false">TEXT(P20-Q74,"0.00%")&amp;" – "&amp;TEXT(P20+Q74,"0.00%")</f>
        <v>82.97% – 101.03%</v>
      </c>
    </row>
    <row r="75" customFormat="false" ht="15" hidden="false" customHeight="false" outlineLevel="0" collapsed="false">
      <c r="A75" s="4" t="s">
        <v>54</v>
      </c>
      <c r="B75" s="4" t="n">
        <v>3</v>
      </c>
      <c r="C75" s="34" t="n">
        <f aca="false">INDEX(Inputs!$B$21:$E$21,1,2)</f>
        <v>5</v>
      </c>
      <c r="D75" s="22" t="n">
        <f aca="false">$H$13*($I$13+$I$6)*($J$13+$J$6)*($K$18-($K$13+$K$6))*$L$18</f>
        <v>169728</v>
      </c>
      <c r="E75" s="24" t="n">
        <f aca="false">D75/$H$19</f>
        <v>0.00373558745704673</v>
      </c>
      <c r="F75" s="35" t="n">
        <f aca="false">IF(E75&gt;0,1/E75,"-")</f>
        <v>267.695512820513</v>
      </c>
      <c r="G75" s="23" t="n">
        <f aca="false">C75*E75</f>
        <v>0.0186779372852337</v>
      </c>
      <c r="O75" s="41" t="n">
        <v>100000</v>
      </c>
      <c r="P75" s="36" t="n">
        <f aca="false">1.645*P49/SQRT(O75)</f>
        <v>0.0239719907850615</v>
      </c>
      <c r="Q75" s="36" t="n">
        <f aca="false">1.96*P49/SQRT(O75)</f>
        <v>0.0285623719992222</v>
      </c>
      <c r="R75" s="4" t="str">
        <f aca="false">TEXT(P20-Q75,"0.00%")&amp;" – "&amp;TEXT(P20+Q75,"0.00%")</f>
        <v>89.14% – 94.86%</v>
      </c>
    </row>
    <row r="76" customFormat="false" ht="15" hidden="false" customHeight="false" outlineLevel="0" collapsed="false">
      <c r="A76" s="4" t="s">
        <v>54</v>
      </c>
      <c r="B76" s="4" t="n">
        <v>4</v>
      </c>
      <c r="C76" s="34" t="n">
        <f aca="false">INDEX(Inputs!$B$21:$E$21,1,3)</f>
        <v>25</v>
      </c>
      <c r="D76" s="22" t="n">
        <f aca="false">$H$13*($I$13+$I$6)*($J$13+$J$6)*($K$13+$K$6)*($L$18-($L$13+$L$6))</f>
        <v>47616</v>
      </c>
      <c r="E76" s="24" t="n">
        <f aca="false">D76/$H$19</f>
        <v>0.00104799286125293</v>
      </c>
      <c r="F76" s="35" t="n">
        <f aca="false">IF(E76&gt;0,1/E76,"-")</f>
        <v>954.20497311828</v>
      </c>
      <c r="G76" s="23" t="n">
        <f aca="false">C76*E76</f>
        <v>0.0261998215313232</v>
      </c>
      <c r="O76" s="41" t="n">
        <v>1000000</v>
      </c>
      <c r="P76" s="36" t="n">
        <f aca="false">1.645*P49/SQRT(O76)</f>
        <v>0.00758060909293622</v>
      </c>
      <c r="Q76" s="36" t="n">
        <f aca="false">1.96*P49/SQRT(O76)</f>
        <v>0.00903221508945591</v>
      </c>
      <c r="R76" s="4" t="str">
        <f aca="false">TEXT(P20-Q76,"0.00%")&amp;" – "&amp;TEXT(P20+Q76,"0.00%")</f>
        <v>91.10% – 92.90%</v>
      </c>
    </row>
    <row r="77" customFormat="false" ht="15" hidden="false" customHeight="false" outlineLevel="0" collapsed="false">
      <c r="A77" s="4" t="s">
        <v>54</v>
      </c>
      <c r="B77" s="4" t="n">
        <v>5</v>
      </c>
      <c r="C77" s="34" t="n">
        <f aca="false">INDEX(Inputs!$B$21:$E$21,1,4)</f>
        <v>100</v>
      </c>
      <c r="D77" s="22" t="n">
        <f aca="false">$H$13*($I$13+$I$6)*($J$13+$J$6)*($K$13+$K$6)*($L$13+$L$6)</f>
        <v>4608</v>
      </c>
      <c r="E77" s="24" t="n">
        <f aca="false">D77/$H$19</f>
        <v>0.000101418663992219</v>
      </c>
      <c r="F77" s="35" t="n">
        <f aca="false">IF(E77&gt;0,1/E77,"-")</f>
        <v>9860.11805555556</v>
      </c>
      <c r="G77" s="23" t="n">
        <f aca="false">C77*E77</f>
        <v>0.0101418663992219</v>
      </c>
      <c r="O77" s="41" t="n">
        <v>10000000</v>
      </c>
      <c r="P77" s="36" t="n">
        <f aca="false">1.645*P49/SQRT(O77)</f>
        <v>0.00239719907850615</v>
      </c>
      <c r="Q77" s="36" t="n">
        <f aca="false">1.96*P49/SQRT(O77)</f>
        <v>0.00285623719992222</v>
      </c>
      <c r="R77" s="4" t="str">
        <f aca="false">TEXT(P20-Q77,"0.00%")&amp;" – "&amp;TEXT(P20+Q77,"0.00%")</f>
        <v>91.71% – 92.29%</v>
      </c>
    </row>
    <row r="78" customFormat="false" ht="15" hidden="false" customHeight="false" outlineLevel="0" collapsed="false">
      <c r="A78" s="4" t="s">
        <v>55</v>
      </c>
      <c r="B78" s="4" t="n">
        <v>3</v>
      </c>
      <c r="C78" s="34" t="n">
        <f aca="false">INDEX(Inputs!$B$22:$E$22,1,2)</f>
        <v>5</v>
      </c>
      <c r="D78" s="22" t="n">
        <f aca="false">$H$14*($I$14+$I$6)*($J$14+$J$6)*($K$18-($K$14+$K$6))*$L$18</f>
        <v>226304</v>
      </c>
      <c r="E78" s="24" t="n">
        <f aca="false">D78/$H$19</f>
        <v>0.00498078327606231</v>
      </c>
      <c r="F78" s="35" t="n">
        <f aca="false">IF(E78&gt;0,1/E78,"-")</f>
        <v>200.771634615385</v>
      </c>
      <c r="G78" s="23" t="n">
        <f aca="false">C78*E78</f>
        <v>0.0249039163803115</v>
      </c>
      <c r="O78" s="41" t="n">
        <v>100000000</v>
      </c>
      <c r="P78" s="36" t="n">
        <f aca="false">1.645*P49/SQRT(O78)</f>
        <v>0.000758060909293621</v>
      </c>
      <c r="Q78" s="36" t="n">
        <f aca="false">1.96*P49/SQRT(O78)</f>
        <v>0.000903221508945591</v>
      </c>
      <c r="R78" s="4" t="str">
        <f aca="false">TEXT(P20-Q78,"0.00%")&amp;" – "&amp;TEXT(P20+Q78,"0.00%")</f>
        <v>91.91% – 92.09%</v>
      </c>
    </row>
    <row r="79" customFormat="false" ht="15" hidden="false" customHeight="false" outlineLevel="0" collapsed="false">
      <c r="A79" s="4" t="s">
        <v>55</v>
      </c>
      <c r="B79" s="4" t="n">
        <v>4</v>
      </c>
      <c r="C79" s="34" t="n">
        <f aca="false">INDEX(Inputs!$B$22:$E$22,1,3)</f>
        <v>20</v>
      </c>
      <c r="D79" s="22" t="n">
        <f aca="false">$H$14*($I$14+$I$6)*($J$14+$J$6)*($K$14+$K$6)*($L$18-($L$14+$L$6))</f>
        <v>61440</v>
      </c>
      <c r="E79" s="24" t="n">
        <f aca="false">D79/$H$19</f>
        <v>0.00135224885322959</v>
      </c>
      <c r="F79" s="35" t="n">
        <f aca="false">IF(E79&gt;0,1/E79,"-")</f>
        <v>739.508854166667</v>
      </c>
      <c r="G79" s="23" t="n">
        <f aca="false">C79*E79</f>
        <v>0.0270449770645917</v>
      </c>
    </row>
    <row r="80" customFormat="false" ht="15" hidden="false" customHeight="false" outlineLevel="0" collapsed="false">
      <c r="A80" s="4" t="s">
        <v>55</v>
      </c>
      <c r="B80" s="4" t="n">
        <v>5</v>
      </c>
      <c r="C80" s="34" t="n">
        <f aca="false">INDEX(Inputs!$B$22:$E$22,1,4)</f>
        <v>80</v>
      </c>
      <c r="D80" s="22" t="n">
        <f aca="false">$H$14*($I$14+$I$6)*($J$14+$J$6)*($K$14+$K$6)*($L$14+$L$6)</f>
        <v>8192</v>
      </c>
      <c r="E80" s="24" t="n">
        <f aca="false">D80/$H$19</f>
        <v>0.000180299847097278</v>
      </c>
      <c r="F80" s="35" t="n">
        <f aca="false">IF(E80&gt;0,1/E80,"-")</f>
        <v>5546.31640625</v>
      </c>
      <c r="G80" s="23" t="n">
        <f aca="false">C80*E80</f>
        <v>0.0144239877677822</v>
      </c>
    </row>
    <row r="81" customFormat="false" ht="15" hidden="false" customHeight="false" outlineLevel="0" collapsed="false">
      <c r="A81" s="4" t="s">
        <v>56</v>
      </c>
      <c r="B81" s="4" t="n">
        <v>3</v>
      </c>
      <c r="C81" s="34" t="n">
        <f aca="false">INDEX(Inputs!$B$23:$E$23,1,2)</f>
        <v>5</v>
      </c>
      <c r="D81" s="22" t="n">
        <f aca="false">$H$15*($I$15+$I$6)*($J$15+$J$6)*($K$18-($K$15+$K$6))*$L$18</f>
        <v>226304</v>
      </c>
      <c r="E81" s="24" t="n">
        <f aca="false">D81/$H$19</f>
        <v>0.00498078327606231</v>
      </c>
      <c r="F81" s="35" t="n">
        <f aca="false">IF(E81&gt;0,1/E81,"-")</f>
        <v>200.771634615385</v>
      </c>
      <c r="G81" s="23" t="n">
        <f aca="false">C81*E81</f>
        <v>0.0249039163803115</v>
      </c>
    </row>
    <row r="82" customFormat="false" ht="15" hidden="false" customHeight="false" outlineLevel="0" collapsed="false">
      <c r="A82" s="4" t="s">
        <v>56</v>
      </c>
      <c r="B82" s="4" t="n">
        <v>4</v>
      </c>
      <c r="C82" s="34" t="n">
        <f aca="false">INDEX(Inputs!$B$23:$E$23,1,3)</f>
        <v>15</v>
      </c>
      <c r="D82" s="22" t="n">
        <f aca="false">$H$15*($I$15+$I$6)*($J$15+$J$6)*($K$15+$K$6)*($L$18-($L$15+$L$6))</f>
        <v>61440</v>
      </c>
      <c r="E82" s="24" t="n">
        <f aca="false">D82/$H$19</f>
        <v>0.00135224885322959</v>
      </c>
      <c r="F82" s="35" t="n">
        <f aca="false">IF(E82&gt;0,1/E82,"-")</f>
        <v>739.508854166667</v>
      </c>
      <c r="G82" s="23" t="n">
        <f aca="false">C82*E82</f>
        <v>0.0202837327984438</v>
      </c>
    </row>
    <row r="83" customFormat="false" ht="15" hidden="false" customHeight="false" outlineLevel="0" collapsed="false">
      <c r="A83" s="4" t="s">
        <v>56</v>
      </c>
      <c r="B83" s="4" t="n">
        <v>5</v>
      </c>
      <c r="C83" s="34" t="n">
        <f aca="false">INDEX(Inputs!$B$23:$E$23,1,4)</f>
        <v>60</v>
      </c>
      <c r="D83" s="22" t="n">
        <f aca="false">$H$15*($I$15+$I$6)*($J$15+$J$6)*($K$15+$K$6)*($L$15+$L$6)</f>
        <v>8192</v>
      </c>
      <c r="E83" s="24" t="n">
        <f aca="false">D83/$H$19</f>
        <v>0.000180299847097278</v>
      </c>
      <c r="F83" s="35" t="n">
        <f aca="false">IF(E83&gt;0,1/E83,"-")</f>
        <v>5546.31640625</v>
      </c>
      <c r="G83" s="23" t="n">
        <f aca="false">C83*E83</f>
        <v>0.0108179908258367</v>
      </c>
    </row>
    <row r="84" customFormat="false" ht="15" hidden="false" customHeight="false" outlineLevel="0" collapsed="false">
      <c r="A84" s="4" t="s">
        <v>57</v>
      </c>
      <c r="B84" s="4" t="n">
        <v>3</v>
      </c>
      <c r="C84" s="34" t="n">
        <f aca="false">INDEX(Inputs!$B$24:$E$24,1,2)</f>
        <v>4</v>
      </c>
      <c r="D84" s="22" t="n">
        <f aca="false">$H$16*($I$16+$I$6)*($J$16+$J$6)*($K$18-($K$16+$K$6))*$L$18</f>
        <v>226304</v>
      </c>
      <c r="E84" s="24" t="n">
        <f aca="false">D84/$H$19</f>
        <v>0.00498078327606231</v>
      </c>
      <c r="F84" s="35" t="n">
        <f aca="false">IF(E84&gt;0,1/E84,"-")</f>
        <v>200.771634615385</v>
      </c>
      <c r="G84" s="23" t="n">
        <f aca="false">C84*E84</f>
        <v>0.0199231331042492</v>
      </c>
    </row>
    <row r="85" customFormat="false" ht="15" hidden="false" customHeight="false" outlineLevel="0" collapsed="false">
      <c r="A85" s="4" t="s">
        <v>57</v>
      </c>
      <c r="B85" s="4" t="n">
        <v>4</v>
      </c>
      <c r="C85" s="34" t="n">
        <f aca="false">INDEX(Inputs!$B$24:$E$24,1,3)</f>
        <v>10</v>
      </c>
      <c r="D85" s="22" t="n">
        <f aca="false">$H$16*($I$16+$I$6)*($J$16+$J$6)*($K$16+$K$6)*($L$18-($L$16+$L$6))</f>
        <v>61440</v>
      </c>
      <c r="E85" s="24" t="n">
        <f aca="false">D85/$H$19</f>
        <v>0.00135224885322959</v>
      </c>
      <c r="F85" s="35" t="n">
        <f aca="false">IF(E85&gt;0,1/E85,"-")</f>
        <v>739.508854166667</v>
      </c>
      <c r="G85" s="23" t="n">
        <f aca="false">C85*E85</f>
        <v>0.0135224885322959</v>
      </c>
    </row>
    <row r="86" customFormat="false" ht="15" hidden="false" customHeight="false" outlineLevel="0" collapsed="false">
      <c r="A86" s="4" t="s">
        <v>57</v>
      </c>
      <c r="B86" s="4" t="n">
        <v>5</v>
      </c>
      <c r="C86" s="34" t="n">
        <f aca="false">INDEX(Inputs!$B$24:$E$24,1,4)</f>
        <v>50</v>
      </c>
      <c r="D86" s="22" t="n">
        <f aca="false">$H$16*($I$16+$I$6)*($J$16+$J$6)*($K$16+$K$6)*($L$16+$L$6)</f>
        <v>8192</v>
      </c>
      <c r="E86" s="24" t="n">
        <f aca="false">D86/$H$19</f>
        <v>0.000180299847097278</v>
      </c>
      <c r="F86" s="35" t="n">
        <f aca="false">IF(E86&gt;0,1/E86,"-")</f>
        <v>5546.31640625</v>
      </c>
      <c r="G86" s="23" t="n">
        <f aca="false">C86*E86</f>
        <v>0.00901499235486391</v>
      </c>
    </row>
    <row r="87" customFormat="false" ht="15" hidden="false" customHeight="false" outlineLevel="0" collapsed="false">
      <c r="A87" s="4" t="s">
        <v>58</v>
      </c>
      <c r="B87" s="4" t="n">
        <v>3</v>
      </c>
      <c r="C87" s="34" t="n">
        <f aca="false">INDEX(Inputs!$B$25:$E$25,1,2)</f>
        <v>4</v>
      </c>
      <c r="D87" s="22" t="n">
        <f aca="false">$H$17*($I$17+$I$6)*($J$17+$J$6)*($K$18-($K$17+$K$6))*$L$18</f>
        <v>344250</v>
      </c>
      <c r="E87" s="24" t="n">
        <f aca="false">D87/$H$19</f>
        <v>0.00757668730019995</v>
      </c>
      <c r="F87" s="35" t="n">
        <f aca="false">IF(E87&gt;0,1/E87,"-")</f>
        <v>131.983802469136</v>
      </c>
      <c r="G87" s="23" t="n">
        <f aca="false">C87*E87</f>
        <v>0.0303067492007998</v>
      </c>
    </row>
    <row r="88" customFormat="false" ht="15" hidden="false" customHeight="false" outlineLevel="0" collapsed="false">
      <c r="A88" s="4" t="s">
        <v>58</v>
      </c>
      <c r="B88" s="4" t="n">
        <v>4</v>
      </c>
      <c r="C88" s="34" t="n">
        <f aca="false">INDEX(Inputs!$B$25:$E$25,1,3)</f>
        <v>10</v>
      </c>
      <c r="D88" s="22" t="n">
        <f aca="false">$H$17*($I$17+$I$6)*($J$17+$J$6)*($K$17+$K$6)*($L$18-($L$17+$L$6))</f>
        <v>105705</v>
      </c>
      <c r="E88" s="24" t="n">
        <f aca="false">D88/$H$19</f>
        <v>0.00232648868864963</v>
      </c>
      <c r="F88" s="35" t="n">
        <f aca="false">IF(E88&gt;0,1/E88,"-")</f>
        <v>429.832306891822</v>
      </c>
      <c r="G88" s="23" t="n">
        <f aca="false">C88*E88</f>
        <v>0.0232648868864963</v>
      </c>
    </row>
    <row r="89" customFormat="false" ht="15" hidden="false" customHeight="false" outlineLevel="0" collapsed="false">
      <c r="A89" s="4" t="s">
        <v>58</v>
      </c>
      <c r="B89" s="4" t="n">
        <v>5</v>
      </c>
      <c r="C89" s="34" t="n">
        <f aca="false">INDEX(Inputs!$B$25:$E$25,1,4)</f>
        <v>40</v>
      </c>
      <c r="D89" s="22" t="n">
        <f aca="false">$H$17*($I$17+$I$6)*($J$17+$J$6)*($K$17+$K$6)*($L$17+$L$6)</f>
        <v>18225</v>
      </c>
      <c r="E89" s="24" t="n">
        <f aca="false">D89/$H$19</f>
        <v>0.00040111873942235</v>
      </c>
      <c r="F89" s="35" t="n">
        <f aca="false">IF(E89&gt;0,1/E89,"-")</f>
        <v>2493.02737997257</v>
      </c>
      <c r="G89" s="23" t="n">
        <f aca="false">C89*E89</f>
        <v>0.016044749576894</v>
      </c>
    </row>
    <row r="90" customFormat="false" ht="15" hidden="false" customHeight="false" outlineLevel="0" collapsed="false">
      <c r="A90" s="17" t="s">
        <v>175</v>
      </c>
      <c r="G90" s="29" t="n">
        <f aca="false">SUM(G59:G89)</f>
        <v>1.04272168781786</v>
      </c>
    </row>
    <row r="91" customFormat="false" ht="15" hidden="false" customHeight="false" outlineLevel="0" collapsed="false">
      <c r="A91" s="4" t="s">
        <v>177</v>
      </c>
      <c r="G91" s="24" t="n">
        <f aca="false">SUM(E59:E89)</f>
        <v>0.0628434764909424</v>
      </c>
    </row>
    <row r="93" customFormat="false" ht="15" hidden="false" customHeight="false" outlineLevel="0" collapsed="false">
      <c r="A93" s="20" t="s">
        <v>201</v>
      </c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</row>
    <row r="94" customFormat="false" ht="15" hidden="false" customHeight="false" outlineLevel="0" collapsed="false">
      <c r="A94" s="3" t="s">
        <v>202</v>
      </c>
      <c r="B94" s="3" t="s">
        <v>203</v>
      </c>
      <c r="C94" s="3" t="s">
        <v>204</v>
      </c>
      <c r="D94" s="3" t="s">
        <v>205</v>
      </c>
      <c r="E94" s="3" t="s">
        <v>206</v>
      </c>
      <c r="F94" s="3" t="s">
        <v>207</v>
      </c>
      <c r="G94" s="3" t="s">
        <v>208</v>
      </c>
      <c r="H94" s="3" t="s">
        <v>209</v>
      </c>
      <c r="I94" s="3" t="s">
        <v>210</v>
      </c>
      <c r="J94" s="3" t="s">
        <v>211</v>
      </c>
    </row>
    <row r="95" customFormat="false" ht="15" hidden="false" customHeight="false" outlineLevel="0" collapsed="false">
      <c r="A95" s="4" t="s">
        <v>212</v>
      </c>
      <c r="E95" s="15" t="n">
        <v>1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</row>
    <row r="96" customFormat="false" ht="15" hidden="false" customHeight="false" outlineLevel="0" collapsed="false">
      <c r="A96" s="4" t="n">
        <v>1</v>
      </c>
      <c r="B96" s="22" t="n">
        <f aca="false">$B$7</f>
        <v>1</v>
      </c>
      <c r="C96" s="22" t="n">
        <f aca="false">$B$18</f>
        <v>40</v>
      </c>
      <c r="D96" s="24" t="n">
        <f aca="false">Inputs!$B$6*B96/C96</f>
        <v>0.075</v>
      </c>
      <c r="E96" s="24" t="n">
        <f aca="false">E95*(1-$D96)</f>
        <v>0.925</v>
      </c>
      <c r="F96" s="24" t="n">
        <f aca="false">F95*(1-$D96)+E95*$D96</f>
        <v>0.075</v>
      </c>
      <c r="G96" s="24" t="n">
        <f aca="false">G95*(1-$D96)+F95*$D96</f>
        <v>0</v>
      </c>
      <c r="H96" s="24" t="n">
        <f aca="false">H95*(1-$D96)+G95*$D96</f>
        <v>0</v>
      </c>
      <c r="I96" s="24" t="n">
        <f aca="false">I95*(1-$D96)+H95*$D96</f>
        <v>0</v>
      </c>
      <c r="J96" s="24" t="n">
        <f aca="false">J95*(1-$D96)+I95*$D96</f>
        <v>0</v>
      </c>
    </row>
    <row r="97" customFormat="false" ht="15" hidden="false" customHeight="false" outlineLevel="0" collapsed="false">
      <c r="A97" s="4" t="n">
        <v>2</v>
      </c>
      <c r="B97" s="22" t="n">
        <f aca="false">$C$7</f>
        <v>2</v>
      </c>
      <c r="C97" s="22" t="n">
        <f aca="false">$C$18</f>
        <v>42</v>
      </c>
      <c r="D97" s="24" t="n">
        <f aca="false">Inputs!$B$6*B97/C97</f>
        <v>0.142857142857143</v>
      </c>
      <c r="E97" s="24" t="n">
        <f aca="false">E96*(1-$D97)</f>
        <v>0.792857142857143</v>
      </c>
      <c r="F97" s="24" t="n">
        <f aca="false">F96*(1-$D97)+E96*$D97</f>
        <v>0.196428571428571</v>
      </c>
      <c r="G97" s="24" t="n">
        <f aca="false">G96*(1-$D97)+F96*$D97</f>
        <v>0.0107142857142857</v>
      </c>
      <c r="H97" s="24" t="n">
        <f aca="false">H96*(1-$D97)+G96*$D97</f>
        <v>0</v>
      </c>
      <c r="I97" s="24" t="n">
        <f aca="false">I96*(1-$D97)+H96*$D97</f>
        <v>0</v>
      </c>
      <c r="J97" s="24" t="n">
        <f aca="false">J96*(1-$D97)+I96*$D97</f>
        <v>0</v>
      </c>
    </row>
    <row r="98" customFormat="false" ht="15" hidden="false" customHeight="false" outlineLevel="0" collapsed="false">
      <c r="A98" s="4" t="n">
        <v>3</v>
      </c>
      <c r="B98" s="22" t="n">
        <f aca="false">$D$7</f>
        <v>1</v>
      </c>
      <c r="C98" s="22" t="n">
        <f aca="false">$D$18</f>
        <v>41</v>
      </c>
      <c r="D98" s="24" t="n">
        <f aca="false">Inputs!$B$6*B98/C98</f>
        <v>0.0731707317073171</v>
      </c>
      <c r="E98" s="24" t="n">
        <f aca="false">E97*(1-$D98)</f>
        <v>0.734843205574913</v>
      </c>
      <c r="F98" s="24" t="n">
        <f aca="false">F97*(1-$D98)+E97*$D98</f>
        <v>0.24006968641115</v>
      </c>
      <c r="G98" s="24" t="n">
        <f aca="false">G97*(1-$D98)+F97*$D98</f>
        <v>0.0243031358885017</v>
      </c>
      <c r="H98" s="24" t="n">
        <f aca="false">H97*(1-$D98)+G97*$D98</f>
        <v>0.00078397212543554</v>
      </c>
      <c r="I98" s="24" t="n">
        <f aca="false">I97*(1-$D98)+H97*$D98</f>
        <v>0</v>
      </c>
      <c r="J98" s="24" t="n">
        <f aca="false">J97*(1-$D98)+I97*$D98</f>
        <v>0</v>
      </c>
    </row>
    <row r="99" customFormat="false" ht="15" hidden="false" customHeight="false" outlineLevel="0" collapsed="false">
      <c r="A99" s="4" t="n">
        <v>4</v>
      </c>
      <c r="B99" s="22" t="n">
        <f aca="false">$E$7</f>
        <v>2</v>
      </c>
      <c r="C99" s="22" t="n">
        <f aca="false">$E$18</f>
        <v>42</v>
      </c>
      <c r="D99" s="24" t="n">
        <f aca="false">Inputs!$B$6*B99/C99</f>
        <v>0.142857142857143</v>
      </c>
      <c r="E99" s="24" t="n">
        <f aca="false">E98*(1-$D99)</f>
        <v>0.629865604778497</v>
      </c>
      <c r="F99" s="24" t="n">
        <f aca="false">F98*(1-$D99)+E98*$D99</f>
        <v>0.310751617720259</v>
      </c>
      <c r="G99" s="24" t="n">
        <f aca="false">G98*(1-$D99)+F98*$D99</f>
        <v>0.0551269288203086</v>
      </c>
      <c r="H99" s="24" t="n">
        <f aca="false">H98*(1-$D99)+G98*$D99</f>
        <v>0.00414385266301643</v>
      </c>
      <c r="I99" s="24" t="n">
        <f aca="false">I98*(1-$D99)+H98*$D99</f>
        <v>0.000111996017919363</v>
      </c>
      <c r="J99" s="24" t="n">
        <f aca="false">J98*(1-$D99)+I98*$D99</f>
        <v>0</v>
      </c>
    </row>
    <row r="100" customFormat="false" ht="15" hidden="false" customHeight="false" outlineLevel="0" collapsed="false">
      <c r="A100" s="4" t="n">
        <v>5</v>
      </c>
      <c r="B100" s="22" t="n">
        <f aca="false">$F$7</f>
        <v>1</v>
      </c>
      <c r="C100" s="22" t="n">
        <f aca="false">$F$18</f>
        <v>40</v>
      </c>
      <c r="D100" s="24" t="n">
        <f aca="false">Inputs!$B$6*B100/C100</f>
        <v>0.075</v>
      </c>
      <c r="E100" s="24" t="n">
        <f aca="false">E99*(1-$D100)</f>
        <v>0.58262568442011</v>
      </c>
      <c r="F100" s="24" t="n">
        <f aca="false">F99*(1-$D100)+E99*$D100</f>
        <v>0.334685166749627</v>
      </c>
      <c r="G100" s="24" t="n">
        <f aca="false">G99*(1-$D100)+F99*$D100</f>
        <v>0.0742987804878049</v>
      </c>
      <c r="H100" s="24" t="n">
        <f aca="false">H99*(1-$D100)+G99*$D100</f>
        <v>0.00796758337481334</v>
      </c>
      <c r="I100" s="24" t="n">
        <f aca="false">I99*(1-$D100)+H99*$D100</f>
        <v>0.000414385266301643</v>
      </c>
      <c r="J100" s="24" t="n">
        <f aca="false">J99*(1-$D100)+I99*$D100</f>
        <v>8.39970134395221E-006</v>
      </c>
    </row>
    <row r="101" customFormat="false" ht="15" hidden="false" customHeight="false" outlineLevel="0" collapsed="false">
      <c r="A101" s="4" t="s">
        <v>213</v>
      </c>
      <c r="E101" s="34" t="n">
        <f aca="false">Inputs!$B$29</f>
        <v>0</v>
      </c>
      <c r="F101" s="34" t="n">
        <f aca="false">Inputs!$B$30</f>
        <v>0</v>
      </c>
      <c r="G101" s="34" t="n">
        <f aca="false">Inputs!$B$31</f>
        <v>0</v>
      </c>
      <c r="H101" s="34" t="n">
        <f aca="false">Inputs!$B$32</f>
        <v>2</v>
      </c>
      <c r="I101" s="34" t="n">
        <f aca="false">Inputs!$B$33</f>
        <v>10</v>
      </c>
      <c r="J101" s="34" t="n">
        <f aca="false">Inputs!$B$34</f>
        <v>100</v>
      </c>
    </row>
    <row r="102" customFormat="false" ht="15" hidden="false" customHeight="false" outlineLevel="0" collapsed="false">
      <c r="A102" s="17" t="s">
        <v>214</v>
      </c>
      <c r="E102" s="29" t="n">
        <f aca="false">SUMPRODUCT(E100:J100,E101:J101)</f>
        <v>0.0209189895470383</v>
      </c>
    </row>
    <row r="103" customFormat="false" ht="15" hidden="false" customHeight="false" outlineLevel="0" collapsed="false">
      <c r="A103" s="17" t="s">
        <v>215</v>
      </c>
      <c r="E103" s="42" t="n">
        <f aca="false">SUM(H100:J100)</f>
        <v>0.00839036834245894</v>
      </c>
      <c r="F103" s="43" t="n">
        <f aca="false">1/E103</f>
        <v>119.184278828328</v>
      </c>
    </row>
    <row r="104" customFormat="false" ht="15" hidden="false" customHeight="false" outlineLevel="0" collapsed="false">
      <c r="A104" s="2" t="s">
        <v>216</v>
      </c>
    </row>
    <row r="106" customFormat="false" ht="15" hidden="false" customHeight="false" outlineLevel="0" collapsed="false">
      <c r="A106" s="20" t="s">
        <v>217</v>
      </c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</row>
    <row r="107" customFormat="false" ht="15" hidden="false" customHeight="false" outlineLevel="0" collapsed="false">
      <c r="A107" s="3" t="s">
        <v>202</v>
      </c>
      <c r="B107" s="3" t="s">
        <v>203</v>
      </c>
      <c r="C107" s="3" t="s">
        <v>204</v>
      </c>
      <c r="D107" s="3" t="s">
        <v>205</v>
      </c>
      <c r="E107" s="3" t="s">
        <v>206</v>
      </c>
      <c r="F107" s="3" t="s">
        <v>207</v>
      </c>
      <c r="G107" s="3" t="s">
        <v>208</v>
      </c>
      <c r="H107" s="3" t="s">
        <v>209</v>
      </c>
      <c r="I107" s="3" t="s">
        <v>210</v>
      </c>
      <c r="J107" s="3" t="s">
        <v>211</v>
      </c>
    </row>
    <row r="108" customFormat="false" ht="15" hidden="false" customHeight="false" outlineLevel="0" collapsed="false">
      <c r="A108" s="4" t="s">
        <v>212</v>
      </c>
      <c r="E108" s="15" t="n">
        <v>1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0</v>
      </c>
    </row>
    <row r="109" customFormat="false" ht="15" hidden="false" customHeight="false" outlineLevel="0" collapsed="false">
      <c r="A109" s="4" t="n">
        <v>1</v>
      </c>
      <c r="B109" s="22" t="n">
        <f aca="false">$H$7</f>
        <v>1</v>
      </c>
      <c r="C109" s="22" t="n">
        <f aca="false">$H$18</f>
        <v>34</v>
      </c>
      <c r="D109" s="24" t="n">
        <f aca="false">Inputs!$B$6*B109/C109</f>
        <v>0.0882352941176471</v>
      </c>
      <c r="E109" s="24" t="n">
        <f aca="false">E108*(1-$D109)</f>
        <v>0.911764705882353</v>
      </c>
      <c r="F109" s="24" t="n">
        <f aca="false">F108*(1-$D109)+E108*$D109</f>
        <v>0.0882352941176471</v>
      </c>
      <c r="G109" s="24" t="n">
        <f aca="false">G108*(1-$D109)+F108*$D109</f>
        <v>0</v>
      </c>
      <c r="H109" s="24" t="n">
        <f aca="false">H108*(1-$D109)+G108*$D109</f>
        <v>0</v>
      </c>
      <c r="I109" s="24" t="n">
        <f aca="false">I108*(1-$D109)+H108*$D109</f>
        <v>0</v>
      </c>
      <c r="J109" s="24" t="n">
        <f aca="false">J108*(1-$D109)+I108*$D109</f>
        <v>0</v>
      </c>
    </row>
    <row r="110" customFormat="false" ht="15" hidden="false" customHeight="false" outlineLevel="0" collapsed="false">
      <c r="A110" s="4" t="n">
        <v>2</v>
      </c>
      <c r="B110" s="22" t="n">
        <f aca="false">$I$7</f>
        <v>1</v>
      </c>
      <c r="C110" s="22" t="n">
        <f aca="false">$I$18</f>
        <v>34</v>
      </c>
      <c r="D110" s="24" t="n">
        <f aca="false">Inputs!$B$6*B110/C110</f>
        <v>0.0882352941176471</v>
      </c>
      <c r="E110" s="24" t="n">
        <f aca="false">E109*(1-$D110)</f>
        <v>0.831314878892734</v>
      </c>
      <c r="F110" s="24" t="n">
        <f aca="false">F109*(1-$D110)+E109*$D110</f>
        <v>0.160899653979239</v>
      </c>
      <c r="G110" s="24" t="n">
        <f aca="false">G109*(1-$D110)+F109*$D110</f>
        <v>0.00778546712802768</v>
      </c>
      <c r="H110" s="24" t="n">
        <f aca="false">H109*(1-$D110)+G109*$D110</f>
        <v>0</v>
      </c>
      <c r="I110" s="24" t="n">
        <f aca="false">I109*(1-$D110)+H109*$D110</f>
        <v>0</v>
      </c>
      <c r="J110" s="24" t="n">
        <f aca="false">J109*(1-$D110)+I109*$D110</f>
        <v>0</v>
      </c>
    </row>
    <row r="111" customFormat="false" ht="15" hidden="false" customHeight="false" outlineLevel="0" collapsed="false">
      <c r="A111" s="4" t="n">
        <v>3</v>
      </c>
      <c r="B111" s="22" t="n">
        <f aca="false">$J$7</f>
        <v>1</v>
      </c>
      <c r="C111" s="22" t="n">
        <f aca="false">$J$18</f>
        <v>34</v>
      </c>
      <c r="D111" s="24" t="n">
        <f aca="false">Inputs!$B$6*B111/C111</f>
        <v>0.0882352941176471</v>
      </c>
      <c r="E111" s="24" t="n">
        <f aca="false">E110*(1-$D111)</f>
        <v>0.757963566049257</v>
      </c>
      <c r="F111" s="24" t="n">
        <f aca="false">F110*(1-$D111)+E110*$D111</f>
        <v>0.220053938530429</v>
      </c>
      <c r="G111" s="24" t="n">
        <f aca="false">G110*(1-$D111)+F110*$D111</f>
        <v>0.0212955424384287</v>
      </c>
      <c r="H111" s="24" t="n">
        <f aca="false">H110*(1-$D111)+G110*$D111</f>
        <v>0.000686952981884796</v>
      </c>
      <c r="I111" s="24" t="n">
        <f aca="false">I110*(1-$D111)+H110*$D111</f>
        <v>0</v>
      </c>
      <c r="J111" s="24" t="n">
        <f aca="false">J110*(1-$D111)+I110*$D111</f>
        <v>0</v>
      </c>
    </row>
    <row r="112" customFormat="false" ht="15" hidden="false" customHeight="false" outlineLevel="0" collapsed="false">
      <c r="A112" s="4" t="n">
        <v>4</v>
      </c>
      <c r="B112" s="22" t="n">
        <f aca="false">$K$7</f>
        <v>1</v>
      </c>
      <c r="C112" s="22" t="n">
        <f aca="false">$K$18</f>
        <v>34</v>
      </c>
      <c r="D112" s="24" t="n">
        <f aca="false">Inputs!$B$6*B112/C112</f>
        <v>0.0882352941176471</v>
      </c>
      <c r="E112" s="24" t="n">
        <f aca="false">E111*(1-$D112)</f>
        <v>0.69108442786844</v>
      </c>
      <c r="F112" s="24" t="n">
        <f aca="false">F111*(1-$D112)+E111*$D112</f>
        <v>0.267516552723267</v>
      </c>
      <c r="G112" s="24" t="n">
        <f aca="false">G111*(1-$D112)+F111*$D112</f>
        <v>0.0388330479759581</v>
      </c>
      <c r="H112" s="24" t="n">
        <f aca="false">H111*(1-$D112)+G111*$D112</f>
        <v>0.00250535793393278</v>
      </c>
      <c r="I112" s="24" t="n">
        <f aca="false">I111*(1-$D112)+H111*$D112</f>
        <v>6.06134984015996E-005</v>
      </c>
      <c r="J112" s="24" t="n">
        <f aca="false">J111*(1-$D112)+I111*$D112</f>
        <v>0</v>
      </c>
    </row>
    <row r="113" customFormat="false" ht="15" hidden="false" customHeight="false" outlineLevel="0" collapsed="false">
      <c r="A113" s="4" t="n">
        <v>5</v>
      </c>
      <c r="B113" s="22" t="n">
        <f aca="false">$L$7</f>
        <v>1</v>
      </c>
      <c r="C113" s="22" t="n">
        <f aca="false">$L$18</f>
        <v>34</v>
      </c>
      <c r="D113" s="24" t="n">
        <f aca="false">Inputs!$B$6*B113/C113</f>
        <v>0.0882352941176471</v>
      </c>
      <c r="E113" s="24" t="n">
        <f aca="false">E112*(1-$D113)</f>
        <v>0.630106390115343</v>
      </c>
      <c r="F113" s="24" t="n">
        <f aca="false">F112*(1-$D113)+E112*$D113</f>
        <v>0.304890188765488</v>
      </c>
      <c r="G113" s="24" t="n">
        <f aca="false">G112*(1-$D113)+F112*$D113</f>
        <v>0.0590110042771913</v>
      </c>
      <c r="H113" s="24" t="n">
        <f aca="false">H112*(1-$D113)+G112*$D113</f>
        <v>0.00571074234940561</v>
      </c>
      <c r="I113" s="24" t="n">
        <f aca="false">I112*(1-$D113)+H112*$D113</f>
        <v>0.000276326242713175</v>
      </c>
      <c r="J113" s="24" t="n">
        <f aca="false">J112*(1-$D113)+I112*$D113</f>
        <v>5.34824985896467E-006</v>
      </c>
    </row>
    <row r="114" customFormat="false" ht="15" hidden="false" customHeight="false" outlineLevel="0" collapsed="false">
      <c r="A114" s="4" t="s">
        <v>213</v>
      </c>
      <c r="E114" s="34" t="n">
        <f aca="false">Inputs!$B$29</f>
        <v>0</v>
      </c>
      <c r="F114" s="34" t="n">
        <f aca="false">Inputs!$B$30</f>
        <v>0</v>
      </c>
      <c r="G114" s="34" t="n">
        <f aca="false">Inputs!$B$31</f>
        <v>0</v>
      </c>
      <c r="H114" s="34" t="n">
        <f aca="false">Inputs!$B$32</f>
        <v>2</v>
      </c>
      <c r="I114" s="34" t="n">
        <f aca="false">Inputs!$B$33</f>
        <v>10</v>
      </c>
      <c r="J114" s="34" t="n">
        <f aca="false">Inputs!$B$34</f>
        <v>100</v>
      </c>
    </row>
    <row r="115" customFormat="false" ht="15" hidden="false" customHeight="false" outlineLevel="0" collapsed="false">
      <c r="A115" s="17" t="s">
        <v>214</v>
      </c>
      <c r="E115" s="29" t="n">
        <f aca="false">SUMPRODUCT(E113:J113,E114:J114)</f>
        <v>0.0147195721118394</v>
      </c>
    </row>
    <row r="116" customFormat="false" ht="15" hidden="false" customHeight="false" outlineLevel="0" collapsed="false">
      <c r="A116" s="17" t="s">
        <v>215</v>
      </c>
      <c r="E116" s="42" t="n">
        <f aca="false">SUM(H113:J113)</f>
        <v>0.00599241684197775</v>
      </c>
      <c r="F116" s="43" t="n">
        <f aca="false">1/E116</f>
        <v>166.877576505502</v>
      </c>
    </row>
    <row r="117" customFormat="false" ht="15" hidden="false" customHeight="false" outlineLevel="0" collapsed="false">
      <c r="A117" s="2" t="s">
        <v>216</v>
      </c>
    </row>
    <row r="119" customFormat="false" ht="15" hidden="false" customHeight="false" outlineLevel="0" collapsed="false">
      <c r="A119" s="20" t="s">
        <v>218</v>
      </c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</row>
    <row r="120" customFormat="false" ht="35.05" hidden="false" customHeight="false" outlineLevel="0" collapsed="false">
      <c r="A120" s="3" t="s">
        <v>219</v>
      </c>
      <c r="B120" s="3" t="s">
        <v>220</v>
      </c>
      <c r="C120" s="3" t="s">
        <v>221</v>
      </c>
      <c r="D120" s="3" t="s">
        <v>222</v>
      </c>
      <c r="E120" s="3" t="s">
        <v>223</v>
      </c>
      <c r="F120" s="3" t="s">
        <v>224</v>
      </c>
      <c r="G120" s="3" t="s">
        <v>225</v>
      </c>
    </row>
    <row r="121" customFormat="false" ht="15" hidden="false" customHeight="false" outlineLevel="0" collapsed="false">
      <c r="A121" s="4" t="n">
        <v>0</v>
      </c>
      <c r="B121" s="15" t="n">
        <v>1</v>
      </c>
      <c r="C121" s="15" t="n">
        <v>0</v>
      </c>
      <c r="D121" s="15" t="n">
        <v>0</v>
      </c>
      <c r="E121" s="15" t="n">
        <v>0</v>
      </c>
      <c r="F121" s="15" t="n">
        <v>0</v>
      </c>
      <c r="G121" s="24" t="n">
        <f aca="false">IF($A121&lt;Inputs!$B$9*(1+0),B121,0)+IF($A121&lt;Inputs!$B$9*(1+1),C121,0)+IF($A121&lt;Inputs!$B$9*(1+2),D121,0)+IF($A121&lt;Inputs!$B$9*(1+3),E121,0)+IF($A121&lt;Inputs!$B$9*(1+4),F121,0)</f>
        <v>1</v>
      </c>
    </row>
    <row r="122" customFormat="false" ht="15" hidden="false" customHeight="false" outlineLevel="0" collapsed="false">
      <c r="A122" s="4" t="n">
        <v>1</v>
      </c>
      <c r="B122" s="24" t="n">
        <f aca="false">IF(($A121&lt;Inputs!$B$9*(1+0)),B121*(1-$E$116),B121)</f>
        <v>0.994007583158022</v>
      </c>
      <c r="C122" s="24" t="n">
        <f aca="false">IF(($A121&lt;Inputs!$B$9*(1+1)),C121*(1-$E$116),C121)+IF($A121&lt;Inputs!$B$9*1,B121*$E$116,0)</f>
        <v>0.00599241684197775</v>
      </c>
      <c r="D122" s="24" t="n">
        <f aca="false">IF(($A121&lt;Inputs!$B$9*(1+2)),D121*(1-$E$116),D121)+IF($A121&lt;Inputs!$B$9*2,C121*$E$116,0)</f>
        <v>0</v>
      </c>
      <c r="E122" s="24" t="n">
        <f aca="false">IF(($A121&lt;Inputs!$B$9*(1+3)),E121*(1-$E$116),E121)+IF($A121&lt;Inputs!$B$9*3,D121*$E$116,0)</f>
        <v>0</v>
      </c>
      <c r="F122" s="24" t="n">
        <f aca="false">IF(($A121&lt;Inputs!$B$9*(1+4)),F121*(1-$E$116),F121)+IF($A121&lt;Inputs!$B$9*4,E121*$E$116,0)+IF(($A121&lt;Inputs!$B$9*(1+4)),F121*$E$116,0)</f>
        <v>0</v>
      </c>
      <c r="G122" s="24" t="n">
        <f aca="false">IF($A122&lt;Inputs!$B$9*(1+0),B122,0)+IF($A122&lt;Inputs!$B$9*(1+1),C122,0)+IF($A122&lt;Inputs!$B$9*(1+2),D122,0)+IF($A122&lt;Inputs!$B$9*(1+3),E122,0)+IF($A122&lt;Inputs!$B$9*(1+4),F122,0)</f>
        <v>1</v>
      </c>
    </row>
    <row r="123" customFormat="false" ht="15" hidden="false" customHeight="false" outlineLevel="0" collapsed="false">
      <c r="A123" s="4" t="n">
        <v>2</v>
      </c>
      <c r="B123" s="24" t="n">
        <f aca="false">IF(($A122&lt;Inputs!$B$9*(1+0)),B122*(1-$E$116),B122)</f>
        <v>0.988051075375653</v>
      </c>
      <c r="C123" s="24" t="n">
        <f aca="false">IF(($A122&lt;Inputs!$B$9*(1+1)),C122*(1-$E$116),C122)+IF($A122&lt;Inputs!$B$9*1,B122*$E$116,0)</f>
        <v>0.0119130155647395</v>
      </c>
      <c r="D123" s="24" t="n">
        <f aca="false">IF(($A122&lt;Inputs!$B$9*(1+2)),D122*(1-$E$116),D122)+IF($A122&lt;Inputs!$B$9*2,C122*$E$116,0)</f>
        <v>3.59090596080186E-005</v>
      </c>
      <c r="E123" s="24" t="n">
        <f aca="false">IF(($A122&lt;Inputs!$B$9*(1+3)),E122*(1-$E$116),E122)+IF($A122&lt;Inputs!$B$9*3,D122*$E$116,0)</f>
        <v>0</v>
      </c>
      <c r="F123" s="24" t="n">
        <f aca="false">IF(($A122&lt;Inputs!$B$9*(1+4)),F122*(1-$E$116),F122)+IF($A122&lt;Inputs!$B$9*4,E122*$E$116,0)+IF(($A122&lt;Inputs!$B$9*(1+4)),F122*$E$116,0)</f>
        <v>0</v>
      </c>
      <c r="G123" s="24" t="n">
        <f aca="false">IF($A123&lt;Inputs!$B$9*(1+0),B123,0)+IF($A123&lt;Inputs!$B$9*(1+1),C123,0)+IF($A123&lt;Inputs!$B$9*(1+2),D123,0)+IF($A123&lt;Inputs!$B$9*(1+3),E123,0)+IF($A123&lt;Inputs!$B$9*(1+4),F123,0)</f>
        <v>1</v>
      </c>
    </row>
    <row r="124" customFormat="false" ht="15" hidden="false" customHeight="false" outlineLevel="0" collapsed="false">
      <c r="A124" s="4" t="n">
        <v>3</v>
      </c>
      <c r="B124" s="24" t="n">
        <f aca="false">IF(($A123&lt;Inputs!$B$9*(1+0)),B123*(1-$E$116),B123)</f>
        <v>0.982130261470837</v>
      </c>
      <c r="C124" s="24" t="n">
        <f aca="false">IF(($A123&lt;Inputs!$B$9*(1+1)),C123*(1-$E$116),C123)+IF($A123&lt;Inputs!$B$9*1,B123*$E$116,0)</f>
        <v>0.0177624417144459</v>
      </c>
      <c r="D124" s="24" t="n">
        <f aca="false">IF(($A123&lt;Inputs!$B$9*(1+2)),D123*(1-$E$116),D123)+IF($A123&lt;Inputs!$B$9*2,C123*$E$116,0)</f>
        <v>0.000107081632663332</v>
      </c>
      <c r="E124" s="24" t="n">
        <f aca="false">IF(($A123&lt;Inputs!$B$9*(1+3)),E123*(1-$E$116),E123)+IF($A123&lt;Inputs!$B$9*3,D123*$E$116,0)</f>
        <v>2.15182053574673E-007</v>
      </c>
      <c r="F124" s="24" t="n">
        <f aca="false">IF(($A123&lt;Inputs!$B$9*(1+4)),F123*(1-$E$116),F123)+IF($A123&lt;Inputs!$B$9*4,E123*$E$116,0)+IF(($A123&lt;Inputs!$B$9*(1+4)),F123*$E$116,0)</f>
        <v>0</v>
      </c>
      <c r="G124" s="24" t="n">
        <f aca="false">IF($A124&lt;Inputs!$B$9*(1+0),B124,0)+IF($A124&lt;Inputs!$B$9*(1+1),C124,0)+IF($A124&lt;Inputs!$B$9*(1+2),D124,0)+IF($A124&lt;Inputs!$B$9*(1+3),E124,0)+IF($A124&lt;Inputs!$B$9*(1+4),F124,0)</f>
        <v>1</v>
      </c>
    </row>
    <row r="125" customFormat="false" ht="15" hidden="false" customHeight="false" outlineLevel="0" collapsed="false">
      <c r="A125" s="4" t="n">
        <v>4</v>
      </c>
      <c r="B125" s="24" t="n">
        <f aca="false">IF(($A124&lt;Inputs!$B$9*(1+0)),B124*(1-$E$116),B124)</f>
        <v>0.976244927550984</v>
      </c>
      <c r="C125" s="24" t="n">
        <f aca="false">IF(($A124&lt;Inputs!$B$9*(1+1)),C124*(1-$E$116),C124)+IF($A124&lt;Inputs!$B$9*1,B124*$E$116,0)</f>
        <v>0.0235413356794154</v>
      </c>
      <c r="D125" s="24" t="n">
        <f aca="false">IF(($A124&lt;Inputs!$B$9*(1+2)),D124*(1-$E$116),D124)+IF($A124&lt;Inputs!$B$9*2,C124*$E$116,0)</f>
        <v>0.000212879909768587</v>
      </c>
      <c r="E125" s="24" t="n">
        <f aca="false">IF(($A124&lt;Inputs!$B$9*(1+3)),E124*(1-$E$116),E124)+IF($A124&lt;Inputs!$B$9*3,D124*$E$116,0)</f>
        <v>8.55570372050965E-007</v>
      </c>
      <c r="F125" s="24" t="n">
        <f aca="false">IF(($A124&lt;Inputs!$B$9*(1+4)),F124*(1-$E$116),F124)+IF($A124&lt;Inputs!$B$9*4,E124*$E$116,0)+IF(($A124&lt;Inputs!$B$9*(1+4)),F124*$E$116,0)</f>
        <v>1.28946056193223E-009</v>
      </c>
      <c r="G125" s="24" t="n">
        <f aca="false">IF($A125&lt;Inputs!$B$9*(1+0),B125,0)+IF($A125&lt;Inputs!$B$9*(1+1),C125,0)+IF($A125&lt;Inputs!$B$9*(1+2),D125,0)+IF($A125&lt;Inputs!$B$9*(1+3),E125,0)+IF($A125&lt;Inputs!$B$9*(1+4),F125,0)</f>
        <v>1</v>
      </c>
    </row>
    <row r="126" customFormat="false" ht="15" hidden="false" customHeight="false" outlineLevel="0" collapsed="false">
      <c r="A126" s="4" t="n">
        <v>5</v>
      </c>
      <c r="B126" s="24" t="n">
        <f aca="false">IF(($A125&lt;Inputs!$B$9*(1+0)),B125*(1-$E$116),B125)</f>
        <v>0.970394861005232</v>
      </c>
      <c r="C126" s="24" t="n">
        <f aca="false">IF(($A125&lt;Inputs!$B$9*(1+1)),C125*(1-$E$116),C125)+IF($A125&lt;Inputs!$B$9*1,B125*$E$116,0)</f>
        <v>0.0292503327287593</v>
      </c>
      <c r="D126" s="24" t="n">
        <f aca="false">IF(($A125&lt;Inputs!$B$9*(1+2)),D125*(1-$E$116),D125)+IF($A125&lt;Inputs!$B$9*2,C125*$E$116,0)</f>
        <v>0.000352673741019952</v>
      </c>
      <c r="E126" s="24" t="n">
        <f aca="false">IF(($A125&lt;Inputs!$B$9*(1+3)),E125*(1-$E$116),E125)+IF($A125&lt;Inputs!$B$9*3,D125*$E$116,0)</f>
        <v>2.12610859435997E-006</v>
      </c>
      <c r="F126" s="24" t="n">
        <f aca="false">IF(($A125&lt;Inputs!$B$9*(1+4)),F125*(1-$E$116),F125)+IF($A125&lt;Inputs!$B$9*4,E125*$E$116,0)+IF(($A125&lt;Inputs!$B$9*(1+4)),F125*$E$116,0)</f>
        <v>6.4163948689076E-009</v>
      </c>
      <c r="G126" s="24" t="n">
        <f aca="false">IF($A126&lt;Inputs!$B$9*(1+0),B126,0)+IF($A126&lt;Inputs!$B$9*(1+1),C126,0)+IF($A126&lt;Inputs!$B$9*(1+2),D126,0)+IF($A126&lt;Inputs!$B$9*(1+3),E126,0)+IF($A126&lt;Inputs!$B$9*(1+4),F126,0)</f>
        <v>1</v>
      </c>
    </row>
    <row r="127" customFormat="false" ht="15" hidden="false" customHeight="false" outlineLevel="0" collapsed="false">
      <c r="A127" s="4" t="n">
        <v>6</v>
      </c>
      <c r="B127" s="24" t="n">
        <f aca="false">IF(($A126&lt;Inputs!$B$9*(1+0)),B126*(1-$E$116),B126)</f>
        <v>0.964579850496775</v>
      </c>
      <c r="C127" s="24" t="n">
        <f aca="false">IF(($A126&lt;Inputs!$B$9*(1+1)),C126*(1-$E$116),C126)+IF($A126&lt;Inputs!$B$9*1,B126*$E$116,0)</f>
        <v>0.0348900630507384</v>
      </c>
      <c r="D127" s="24" t="n">
        <f aca="false">IF(($A126&lt;Inputs!$B$9*(1+2)),D126*(1-$E$116),D126)+IF($A126&lt;Inputs!$B$9*2,C126*$E$116,0)</f>
        <v>0.000525840559431811</v>
      </c>
      <c r="E127" s="24" t="n">
        <f aca="false">IF(($A126&lt;Inputs!$B$9*(1+3)),E126*(1-$E$116),E126)+IF($A126&lt;Inputs!$B$9*3,D126*$E$116,0)</f>
        <v>4.22673613082252E-006</v>
      </c>
      <c r="F127" s="24" t="n">
        <f aca="false">IF(($A126&lt;Inputs!$B$9*(1+4)),F126*(1-$E$116),F126)+IF($A126&lt;Inputs!$B$9*4,E126*$E$116,0)+IF(($A126&lt;Inputs!$B$9*(1+4)),F126*$E$116,0)</f>
        <v>1.9156923817624E-008</v>
      </c>
      <c r="G127" s="24" t="n">
        <f aca="false">IF($A127&lt;Inputs!$B$9*(1+0),B127,0)+IF($A127&lt;Inputs!$B$9*(1+1),C127,0)+IF($A127&lt;Inputs!$B$9*(1+2),D127,0)+IF($A127&lt;Inputs!$B$9*(1+3),E127,0)+IF($A127&lt;Inputs!$B$9*(1+4),F127,0)</f>
        <v>1</v>
      </c>
    </row>
    <row r="128" customFormat="false" ht="15" hidden="false" customHeight="false" outlineLevel="0" collapsed="false">
      <c r="A128" s="4" t="n">
        <v>7</v>
      </c>
      <c r="B128" s="24" t="n">
        <f aca="false">IF(($A127&lt;Inputs!$B$9*(1+0)),B127*(1-$E$116),B127)</f>
        <v>0.958799685955226</v>
      </c>
      <c r="C128" s="24" t="n">
        <f aca="false">IF(($A127&lt;Inputs!$B$9*(1+1)),C127*(1-$E$116),C127)+IF($A127&lt;Inputs!$B$9*1,B127*$E$116,0)</f>
        <v>0.0404611517908448</v>
      </c>
      <c r="D128" s="24" t="n">
        <f aca="false">IF(($A127&lt;Inputs!$B$9*(1+2)),D127*(1-$E$116),D127)+IF($A127&lt;Inputs!$B$9*2,C127*$E$116,0)</f>
        <v>0.000731765305050187</v>
      </c>
      <c r="E128" s="24" t="n">
        <f aca="false">IF(($A127&lt;Inputs!$B$9*(1+3)),E127*(1-$E$116),E127)+IF($A127&lt;Inputs!$B$9*3,D127*$E$116,0)</f>
        <v>7.35246359057976E-006</v>
      </c>
      <c r="F128" s="24" t="n">
        <f aca="false">IF(($A127&lt;Inputs!$B$9*(1+4)),F127*(1-$E$116),F127)+IF($A127&lt;Inputs!$B$9*4,E127*$E$116,0)+IF(($A127&lt;Inputs!$B$9*(1+4)),F127*$E$116,0)</f>
        <v>4.44852885945607E-008</v>
      </c>
      <c r="G128" s="24" t="n">
        <f aca="false">IF($A128&lt;Inputs!$B$9*(1+0),B128,0)+IF($A128&lt;Inputs!$B$9*(1+1),C128,0)+IF($A128&lt;Inputs!$B$9*(1+2),D128,0)+IF($A128&lt;Inputs!$B$9*(1+3),E128,0)+IF($A128&lt;Inputs!$B$9*(1+4),F128,0)</f>
        <v>1</v>
      </c>
    </row>
    <row r="129" customFormat="false" ht="15" hidden="false" customHeight="false" outlineLevel="0" collapsed="false">
      <c r="A129" s="4" t="n">
        <v>8</v>
      </c>
      <c r="B129" s="24" t="n">
        <f aca="false">IF(($A128&lt;Inputs!$B$9*(1+0)),B128*(1-$E$116),B128)</f>
        <v>0.953054158569025</v>
      </c>
      <c r="C129" s="24" t="n">
        <f aca="false">IF(($A128&lt;Inputs!$B$9*(1+1)),C128*(1-$E$116),C128)+IF($A128&lt;Inputs!$B$9*1,B128*$E$116,0)</f>
        <v>0.0459642190896086</v>
      </c>
      <c r="D129" s="24" t="n">
        <f aca="false">IF(($A128&lt;Inputs!$B$9*(1+2)),D128*(1-$E$116),D128)+IF($A128&lt;Inputs!$B$9*2,C128*$E$116,0)</f>
        <v>0.000969840349749106</v>
      </c>
      <c r="E129" s="24" t="n">
        <f aca="false">IF(($A128&lt;Inputs!$B$9*(1+3)),E128*(1-$E$116),E128)+IF($A128&lt;Inputs!$B$9*3,D128*$E$116,0)</f>
        <v>1.16934473022873E-005</v>
      </c>
      <c r="F129" s="24" t="n">
        <f aca="false">IF(($A128&lt;Inputs!$B$9*(1+4)),F128*(1-$E$116),F128)+IF($A128&lt;Inputs!$B$9*4,E128*$E$116,0)+IF(($A128&lt;Inputs!$B$9*(1+4)),F128*$E$116,0)</f>
        <v>8.8544315244779E-008</v>
      </c>
      <c r="G129" s="24" t="n">
        <f aca="false">IF($A129&lt;Inputs!$B$9*(1+0),B129,0)+IF($A129&lt;Inputs!$B$9*(1+1),C129,0)+IF($A129&lt;Inputs!$B$9*(1+2),D129,0)+IF($A129&lt;Inputs!$B$9*(1+3),E129,0)+IF($A129&lt;Inputs!$B$9*(1+4),F129,0)</f>
        <v>1</v>
      </c>
    </row>
    <row r="130" customFormat="false" ht="15" hidden="false" customHeight="false" outlineLevel="0" collapsed="false">
      <c r="A130" s="4" t="n">
        <v>9</v>
      </c>
      <c r="B130" s="24" t="n">
        <f aca="false">IF(($A129&lt;Inputs!$B$9*(1+0)),B129*(1-$E$116),B129)</f>
        <v>0.947343060777899</v>
      </c>
      <c r="C130" s="24" t="n">
        <f aca="false">IF(($A129&lt;Inputs!$B$9*(1+1)),C129*(1-$E$116),C129)+IF($A129&lt;Inputs!$B$9*1,B129*$E$116,0)</f>
        <v>0.0513998801201336</v>
      </c>
      <c r="D130" s="24" t="n">
        <f aca="false">IF(($A129&lt;Inputs!$B$9*(1+2)),D129*(1-$E$116),D129)+IF($A129&lt;Inputs!$B$9*2,C129*$E$116,0)</f>
        <v>0.00123946542270417</v>
      </c>
      <c r="E130" s="24" t="n">
        <f aca="false">IF(($A129&lt;Inputs!$B$9*(1+3)),E129*(1-$E$116),E129)+IF($A129&lt;Inputs!$B$9*3,D129*$E$116,0)</f>
        <v>1.74350629375984E-005</v>
      </c>
      <c r="F130" s="24" t="n">
        <f aca="false">IF(($A129&lt;Inputs!$B$9*(1+4)),F129*(1-$E$116),F129)+IF($A129&lt;Inputs!$B$9*4,E129*$E$116,0)+IF(($A129&lt;Inputs!$B$9*(1+4)),F129*$E$116,0)</f>
        <v>1.58616325799785E-007</v>
      </c>
      <c r="G130" s="24" t="n">
        <f aca="false">IF($A130&lt;Inputs!$B$9*(1+0),B130,0)+IF($A130&lt;Inputs!$B$9*(1+1),C130,0)+IF($A130&lt;Inputs!$B$9*(1+2),D130,0)+IF($A130&lt;Inputs!$B$9*(1+3),E130,0)+IF($A130&lt;Inputs!$B$9*(1+4),F130,0)</f>
        <v>1</v>
      </c>
    </row>
    <row r="131" customFormat="false" ht="15" hidden="false" customHeight="false" outlineLevel="0" collapsed="false">
      <c r="A131" s="4" t="n">
        <v>10</v>
      </c>
      <c r="B131" s="24" t="n">
        <f aca="false">IF(($A130&lt;Inputs!$B$9*(1+0)),B130*(1-$E$116),B130)</f>
        <v>0.941666186265363</v>
      </c>
      <c r="C131" s="24" t="n">
        <f aca="false">IF(($A130&lt;Inputs!$B$9*(1+1)),C130*(1-$E$116),C130)+IF($A130&lt;Inputs!$B$9*1,B130*$E$116,0)</f>
        <v>0.0567687451253623</v>
      </c>
      <c r="D131" s="24" t="n">
        <f aca="false">IF(($A130&lt;Inputs!$B$9*(1+2)),D130*(1-$E$116),D130)+IF($A130&lt;Inputs!$B$9*2,C130*$E$116,0)</f>
        <v>0.00154004753653763</v>
      </c>
      <c r="E131" s="24" t="n">
        <f aca="false">IF(($A130&lt;Inputs!$B$9*(1+3)),E130*(1-$E$116),E130)+IF($A130&lt;Inputs!$B$9*3,D130*$E$116,0)</f>
        <v>2.47579782468717E-005</v>
      </c>
      <c r="F131" s="24" t="n">
        <f aca="false">IF(($A130&lt;Inputs!$B$9*(1+4)),F130*(1-$E$116),F130)+IF($A130&lt;Inputs!$B$9*4,E130*$E$116,0)+IF(($A130&lt;Inputs!$B$9*(1+4)),F130*$E$116,0)</f>
        <v>2.63094490587991E-007</v>
      </c>
      <c r="G131" s="24" t="n">
        <f aca="false">IF($A131&lt;Inputs!$B$9*(1+0),B131,0)+IF($A131&lt;Inputs!$B$9*(1+1),C131,0)+IF($A131&lt;Inputs!$B$9*(1+2),D131,0)+IF($A131&lt;Inputs!$B$9*(1+3),E131,0)+IF($A131&lt;Inputs!$B$9*(1+4),F131,0)</f>
        <v>0.0583338137346374</v>
      </c>
    </row>
    <row r="132" customFormat="false" ht="15" hidden="false" customHeight="false" outlineLevel="0" collapsed="false">
      <c r="A132" s="4" t="n">
        <v>11</v>
      </c>
      <c r="B132" s="24" t="n">
        <f aca="false">IF(($A131&lt;Inputs!$B$9*(1+0)),B131*(1-$E$116),B131)</f>
        <v>0.941666186265363</v>
      </c>
      <c r="C132" s="24" t="n">
        <f aca="false">IF(($A131&lt;Inputs!$B$9*(1+1)),C131*(1-$E$116),C131)+IF($A131&lt;Inputs!$B$9*1,B131*$E$116,0)</f>
        <v>0.0564285631409752</v>
      </c>
      <c r="D132" s="24" t="n">
        <f aca="false">IF(($A131&lt;Inputs!$B$9*(1+2)),D131*(1-$E$116),D131)+IF($A131&lt;Inputs!$B$9*2,C131*$E$116,0)</f>
        <v>0.0018710009141294</v>
      </c>
      <c r="E132" s="24" t="n">
        <f aca="false">IF(($A131&lt;Inputs!$B$9*(1+3)),E131*(1-$E$116),E131)+IF($A131&lt;Inputs!$B$9*3,D131*$E$116,0)</f>
        <v>3.38382249164463E-005</v>
      </c>
      <c r="F132" s="24" t="n">
        <f aca="false">IF(($A131&lt;Inputs!$B$9*(1+4)),F131*(1-$E$116),F131)+IF($A131&lt;Inputs!$B$9*4,E131*$E$116,0)+IF(($A131&lt;Inputs!$B$9*(1+4)),F131*$E$116,0)</f>
        <v>4.11454616407864E-007</v>
      </c>
      <c r="G132" s="24" t="n">
        <f aca="false">IF($A132&lt;Inputs!$B$9*(1+0),B132,0)+IF($A132&lt;Inputs!$B$9*(1+1),C132,0)+IF($A132&lt;Inputs!$B$9*(1+2),D132,0)+IF($A132&lt;Inputs!$B$9*(1+3),E132,0)+IF($A132&lt;Inputs!$B$9*(1+4),F132,0)</f>
        <v>0.0583338137346374</v>
      </c>
    </row>
    <row r="133" customFormat="false" ht="15" hidden="false" customHeight="false" outlineLevel="0" collapsed="false">
      <c r="A133" s="4" t="n">
        <v>12</v>
      </c>
      <c r="B133" s="24" t="n">
        <f aca="false">IF(($A132&lt;Inputs!$B$9*(1+0)),B132*(1-$E$116),B132)</f>
        <v>0.941666186265363</v>
      </c>
      <c r="C133" s="24" t="n">
        <f aca="false">IF(($A132&lt;Inputs!$B$9*(1+1)),C132*(1-$E$116),C132)+IF($A132&lt;Inputs!$B$9*1,B132*$E$116,0)</f>
        <v>0.0560904196688406</v>
      </c>
      <c r="D133" s="24" t="n">
        <f aca="false">IF(($A132&lt;Inputs!$B$9*(1+2)),D132*(1-$E$116),D132)+IF($A132&lt;Inputs!$B$9*2,C132*$E$116,0)</f>
        <v>0.0021979325688748</v>
      </c>
      <c r="E133" s="24" t="n">
        <f aca="false">IF(($A132&lt;Inputs!$B$9*(1+3)),E132*(1-$E$116),E132)+IF($A132&lt;Inputs!$B$9*3,D132*$E$116,0)</f>
        <v>4.48472695567391E-005</v>
      </c>
      <c r="F133" s="24" t="n">
        <f aca="false">IF(($A132&lt;Inputs!$B$9*(1+4)),F132*(1-$E$116),F132)+IF($A132&lt;Inputs!$B$9*4,E132*$E$116,0)+IF(($A132&lt;Inputs!$B$9*(1+4)),F132*$E$116,0)</f>
        <v>6.14227365299808E-007</v>
      </c>
      <c r="G133" s="24" t="n">
        <f aca="false">IF($A133&lt;Inputs!$B$9*(1+0),B133,0)+IF($A133&lt;Inputs!$B$9*(1+1),C133,0)+IF($A133&lt;Inputs!$B$9*(1+2),D133,0)+IF($A133&lt;Inputs!$B$9*(1+3),E133,0)+IF($A133&lt;Inputs!$B$9*(1+4),F133,0)</f>
        <v>0.0583338137346374</v>
      </c>
    </row>
    <row r="134" customFormat="false" ht="15" hidden="false" customHeight="false" outlineLevel="0" collapsed="false">
      <c r="A134" s="4" t="n">
        <v>13</v>
      </c>
      <c r="B134" s="24" t="n">
        <f aca="false">IF(($A133&lt;Inputs!$B$9*(1+0)),B133*(1-$E$116),B133)</f>
        <v>0.941666186265363</v>
      </c>
      <c r="C134" s="24" t="n">
        <f aca="false">IF(($A133&lt;Inputs!$B$9*(1+1)),C133*(1-$E$116),C133)+IF($A133&lt;Inputs!$B$9*1,B133*$E$116,0)</f>
        <v>0.0557543024933434</v>
      </c>
      <c r="D134" s="24" t="n">
        <f aca="false">IF(($A133&lt;Inputs!$B$9*(1+2)),D133*(1-$E$116),D133)+IF($A133&lt;Inputs!$B$9*2,C133*$E$116,0)</f>
        <v>0.0025208788162287</v>
      </c>
      <c r="E134" s="24" t="n">
        <f aca="false">IF(($A133&lt;Inputs!$B$9*(1+3)),E133*(1-$E$116),E133)+IF($A133&lt;Inputs!$B$9*3,D133*$E$116,0)</f>
        <v>5.77494541665874E-005</v>
      </c>
      <c r="F134" s="24" t="n">
        <f aca="false">IF(($A133&lt;Inputs!$B$9*(1+4)),F133*(1-$E$116),F133)+IF($A133&lt;Inputs!$B$9*4,E133*$E$116,0)+IF(($A133&lt;Inputs!$B$9*(1+4)),F133*$E$116,0)</f>
        <v>8.82970898708327E-007</v>
      </c>
      <c r="G134" s="24" t="n">
        <f aca="false">IF($A134&lt;Inputs!$B$9*(1+0),B134,0)+IF($A134&lt;Inputs!$B$9*(1+1),C134,0)+IF($A134&lt;Inputs!$B$9*(1+2),D134,0)+IF($A134&lt;Inputs!$B$9*(1+3),E134,0)+IF($A134&lt;Inputs!$B$9*(1+4),F134,0)</f>
        <v>0.0583338137346374</v>
      </c>
    </row>
    <row r="135" customFormat="false" ht="15" hidden="false" customHeight="false" outlineLevel="0" collapsed="false">
      <c r="A135" s="4" t="n">
        <v>14</v>
      </c>
      <c r="B135" s="24" t="n">
        <f aca="false">IF(($A134&lt;Inputs!$B$9*(1+0)),B134*(1-$E$116),B134)</f>
        <v>0.941666186265363</v>
      </c>
      <c r="C135" s="24" t="n">
        <f aca="false">IF(($A134&lt;Inputs!$B$9*(1+1)),C134*(1-$E$116),C134)+IF($A134&lt;Inputs!$B$9*1,B134*$E$116,0)</f>
        <v>0.0554201994720696</v>
      </c>
      <c r="D135" s="24" t="n">
        <f aca="false">IF(($A134&lt;Inputs!$B$9*(1+2)),D134*(1-$E$116),D134)+IF($A134&lt;Inputs!$B$9*2,C134*$E$116,0)</f>
        <v>0.00283987568082758</v>
      </c>
      <c r="E135" s="24" t="n">
        <f aca="false">IF(($A134&lt;Inputs!$B$9*(1+3)),E134*(1-$E$116),E134)+IF($A134&lt;Inputs!$B$9*3,D134*$E$116,0)</f>
        <v>7.25095520397783E-005</v>
      </c>
      <c r="F135" s="24" t="n">
        <f aca="false">IF(($A134&lt;Inputs!$B$9*(1+4)),F134*(1-$E$116),F134)+IF($A134&lt;Inputs!$B$9*4,E134*$E$116,0)+IF(($A134&lt;Inputs!$B$9*(1+4)),F134*$E$116,0)</f>
        <v>1.22902970047121E-006</v>
      </c>
      <c r="G135" s="24" t="n">
        <f aca="false">IF($A135&lt;Inputs!$B$9*(1+0),B135,0)+IF($A135&lt;Inputs!$B$9*(1+1),C135,0)+IF($A135&lt;Inputs!$B$9*(1+2),D135,0)+IF($A135&lt;Inputs!$B$9*(1+3),E135,0)+IF($A135&lt;Inputs!$B$9*(1+4),F135,0)</f>
        <v>0.0583338137346374</v>
      </c>
    </row>
    <row r="136" customFormat="false" ht="15" hidden="false" customHeight="false" outlineLevel="0" collapsed="false">
      <c r="A136" s="4" t="n">
        <v>15</v>
      </c>
      <c r="B136" s="24" t="n">
        <f aca="false">IF(($A135&lt;Inputs!$B$9*(1+0)),B135*(1-$E$116),B135)</f>
        <v>0.941666186265363</v>
      </c>
      <c r="C136" s="24" t="n">
        <f aca="false">IF(($A135&lt;Inputs!$B$9*(1+1)),C135*(1-$E$116),C135)+IF($A135&lt;Inputs!$B$9*1,B135*$E$116,0)</f>
        <v>0.0550880985353674</v>
      </c>
      <c r="D136" s="24" t="n">
        <f aca="false">IF(($A135&lt;Inputs!$B$9*(1+2)),D135*(1-$E$116),D135)+IF($A135&lt;Inputs!$B$9*2,C135*$E$116,0)</f>
        <v>0.00315495889867086</v>
      </c>
      <c r="E136" s="24" t="n">
        <f aca="false">IF(($A135&lt;Inputs!$B$9*(1+3)),E135*(1-$E$116),E135)+IF($A135&lt;Inputs!$B$9*3,D135*$E$116,0)</f>
        <v>8.90927634378451E-005</v>
      </c>
      <c r="F136" s="24" t="n">
        <f aca="false">IF(($A135&lt;Inputs!$B$9*(1+4)),F135*(1-$E$116),F135)+IF($A135&lt;Inputs!$B$9*4,E135*$E$116,0)+IF(($A135&lt;Inputs!$B$9*(1+4)),F135*$E$116,0)</f>
        <v>1.66353716131864E-006</v>
      </c>
      <c r="G136" s="24" t="n">
        <f aca="false">IF($A136&lt;Inputs!$B$9*(1+0),B136,0)+IF($A136&lt;Inputs!$B$9*(1+1),C136,0)+IF($A136&lt;Inputs!$B$9*(1+2),D136,0)+IF($A136&lt;Inputs!$B$9*(1+3),E136,0)+IF($A136&lt;Inputs!$B$9*(1+4),F136,0)</f>
        <v>0.0583338137346374</v>
      </c>
    </row>
    <row r="137" customFormat="false" ht="15" hidden="false" customHeight="false" outlineLevel="0" collapsed="false">
      <c r="A137" s="4" t="n">
        <v>16</v>
      </c>
      <c r="B137" s="24" t="n">
        <f aca="false">IF(($A136&lt;Inputs!$B$9*(1+0)),B136*(1-$E$116),B136)</f>
        <v>0.941666186265363</v>
      </c>
      <c r="C137" s="24" t="n">
        <f aca="false">IF(($A136&lt;Inputs!$B$9*(1+1)),C136*(1-$E$116),C136)+IF($A136&lt;Inputs!$B$9*1,B136*$E$116,0)</f>
        <v>0.0547579876859115</v>
      </c>
      <c r="D137" s="24" t="n">
        <f aca="false">IF(($A136&lt;Inputs!$B$9*(1+2)),D136*(1-$E$116),D136)+IF($A136&lt;Inputs!$B$9*2,C136*$E$116,0)</f>
        <v>0.00346616391928659</v>
      </c>
      <c r="E137" s="24" t="n">
        <f aca="false">IF(($A136&lt;Inputs!$B$9*(1+3)),E136*(1-$E$116),E136)+IF($A136&lt;Inputs!$B$9*3,D136*$E$116,0)</f>
        <v>0.000107464711301865</v>
      </c>
      <c r="F137" s="24" t="n">
        <f aca="false">IF(($A136&lt;Inputs!$B$9*(1+4)),F136*(1-$E$116),F136)+IF($A136&lt;Inputs!$B$9*4,E136*$E$116,0)+IF(($A136&lt;Inputs!$B$9*(1+4)),F136*$E$116,0)</f>
        <v>2.19741813744192E-006</v>
      </c>
      <c r="G137" s="24" t="n">
        <f aca="false">IF($A137&lt;Inputs!$B$9*(1+0),B137,0)+IF($A137&lt;Inputs!$B$9*(1+1),C137,0)+IF($A137&lt;Inputs!$B$9*(1+2),D137,0)+IF($A137&lt;Inputs!$B$9*(1+3),E137,0)+IF($A137&lt;Inputs!$B$9*(1+4),F137,0)</f>
        <v>0.0583338137346374</v>
      </c>
    </row>
    <row r="138" customFormat="false" ht="15" hidden="false" customHeight="false" outlineLevel="0" collapsed="false">
      <c r="A138" s="4" t="n">
        <v>17</v>
      </c>
      <c r="B138" s="24" t="n">
        <f aca="false">IF(($A137&lt;Inputs!$B$9*(1+0)),B137*(1-$E$116),B137)</f>
        <v>0.941666186265363</v>
      </c>
      <c r="C138" s="24" t="n">
        <f aca="false">IF(($A137&lt;Inputs!$B$9*(1+1)),C137*(1-$E$116),C137)+IF($A137&lt;Inputs!$B$9*1,B137*$E$116,0)</f>
        <v>0.0544298549982697</v>
      </c>
      <c r="D138" s="24" t="n">
        <f aca="false">IF(($A137&lt;Inputs!$B$9*(1+2)),D137*(1-$E$116),D137)+IF($A137&lt;Inputs!$B$9*2,C137*$E$116,0)</f>
        <v>0.00377352590788146</v>
      </c>
      <c r="E138" s="24" t="n">
        <f aca="false">IF(($A137&lt;Inputs!$B$9*(1+3)),E137*(1-$E$116),E137)+IF($A137&lt;Inputs!$B$9*3,D137*$E$116,0)</f>
        <v>0.00012759143700293</v>
      </c>
      <c r="F138" s="24" t="n">
        <f aca="false">IF(($A137&lt;Inputs!$B$9*(1+4)),F137*(1-$E$116),F137)+IF($A137&lt;Inputs!$B$9*4,E137*$E$116,0)+IF(($A137&lt;Inputs!$B$9*(1+4)),F137*$E$116,0)</f>
        <v>2.84139148336549E-006</v>
      </c>
      <c r="G138" s="24" t="n">
        <f aca="false">IF($A138&lt;Inputs!$B$9*(1+0),B138,0)+IF($A138&lt;Inputs!$B$9*(1+1),C138,0)+IF($A138&lt;Inputs!$B$9*(1+2),D138,0)+IF($A138&lt;Inputs!$B$9*(1+3),E138,0)+IF($A138&lt;Inputs!$B$9*(1+4),F138,0)</f>
        <v>0.0583338137346374</v>
      </c>
    </row>
    <row r="139" customFormat="false" ht="15" hidden="false" customHeight="false" outlineLevel="0" collapsed="false">
      <c r="A139" s="4" t="n">
        <v>18</v>
      </c>
      <c r="B139" s="24" t="n">
        <f aca="false">IF(($A138&lt;Inputs!$B$9*(1+0)),B138*(1-$E$116),B138)</f>
        <v>0.941666186265363</v>
      </c>
      <c r="C139" s="24" t="n">
        <f aca="false">IF(($A138&lt;Inputs!$B$9*(1+1)),C138*(1-$E$116),C138)+IF($A138&lt;Inputs!$B$9*1,B138*$E$116,0)</f>
        <v>0.0541036886184716</v>
      </c>
      <c r="D139" s="24" t="n">
        <f aca="false">IF(($A138&lt;Inputs!$B$9*(1+2)),D138*(1-$E$116),D138)+IF($A138&lt;Inputs!$B$9*2,C138*$E$116,0)</f>
        <v>0.00407707974747547</v>
      </c>
      <c r="E139" s="24" t="n">
        <f aca="false">IF(($A138&lt;Inputs!$B$9*(1+3)),E138*(1-$E$116),E138)+IF($A138&lt;Inputs!$B$9*3,D138*$E$116,0)</f>
        <v>0.000149439396130969</v>
      </c>
      <c r="F139" s="24" t="n">
        <f aca="false">IF(($A138&lt;Inputs!$B$9*(1+4)),F138*(1-$E$116),F138)+IF($A138&lt;Inputs!$B$9*4,E138*$E$116,0)+IF(($A138&lt;Inputs!$B$9*(1+4)),F138*$E$116,0)</f>
        <v>3.60597255935399E-006</v>
      </c>
      <c r="G139" s="24" t="n">
        <f aca="false">IF($A139&lt;Inputs!$B$9*(1+0),B139,0)+IF($A139&lt;Inputs!$B$9*(1+1),C139,0)+IF($A139&lt;Inputs!$B$9*(1+2),D139,0)+IF($A139&lt;Inputs!$B$9*(1+3),E139,0)+IF($A139&lt;Inputs!$B$9*(1+4),F139,0)</f>
        <v>0.0583338137346374</v>
      </c>
    </row>
    <row r="140" customFormat="false" ht="15" hidden="false" customHeight="false" outlineLevel="0" collapsed="false">
      <c r="A140" s="4" t="n">
        <v>19</v>
      </c>
      <c r="B140" s="24" t="n">
        <f aca="false">IF(($A139&lt;Inputs!$B$9*(1+0)),B139*(1-$E$116),B139)</f>
        <v>0.941666186265363</v>
      </c>
      <c r="C140" s="24" t="n">
        <f aca="false">IF(($A139&lt;Inputs!$B$9*(1+1)),C139*(1-$E$116),C139)+IF($A139&lt;Inputs!$B$9*1,B139*$E$116,0)</f>
        <v>0.0537794767635812</v>
      </c>
      <c r="D140" s="24" t="n">
        <f aca="false">IF(($A139&lt;Inputs!$B$9*(1+2)),D139*(1-$E$116),D139)+IF($A139&lt;Inputs!$B$9*2,C139*$E$116,0)</f>
        <v>0.00437686004102107</v>
      </c>
      <c r="E140" s="24" t="n">
        <f aca="false">IF(($A139&lt;Inputs!$B$9*(1+3)),E139*(1-$E$116),E139)+IF($A139&lt;Inputs!$B$9*3,D139*$E$116,0)</f>
        <v>0.000172975454321598</v>
      </c>
      <c r="F140" s="24" t="n">
        <f aca="false">IF(($A139&lt;Inputs!$B$9*(1+4)),F139*(1-$E$116),F139)+IF($A139&lt;Inputs!$B$9*4,E139*$E$116,0)+IF(($A139&lt;Inputs!$B$9*(1+4)),F139*$E$116,0)</f>
        <v>4.50147571358419E-006</v>
      </c>
      <c r="G140" s="24" t="n">
        <f aca="false">IF($A140&lt;Inputs!$B$9*(1+0),B140,0)+IF($A140&lt;Inputs!$B$9*(1+1),C140,0)+IF($A140&lt;Inputs!$B$9*(1+2),D140,0)+IF($A140&lt;Inputs!$B$9*(1+3),E140,0)+IF($A140&lt;Inputs!$B$9*(1+4),F140,0)</f>
        <v>0.0583338137346374</v>
      </c>
    </row>
    <row r="141" customFormat="false" ht="15" hidden="false" customHeight="false" outlineLevel="0" collapsed="false">
      <c r="A141" s="4" t="n">
        <v>20</v>
      </c>
      <c r="B141" s="24" t="n">
        <f aca="false">IF(($A140&lt;Inputs!$B$9*(1+0)),B140*(1-$E$116),B140)</f>
        <v>0.941666186265363</v>
      </c>
      <c r="C141" s="24" t="n">
        <f aca="false">IF(($A140&lt;Inputs!$B$9*(1+1)),C140*(1-$E$116),C140)+IF($A140&lt;Inputs!$B$9*1,B140*$E$116,0)</f>
        <v>0.0534572077212704</v>
      </c>
      <c r="D141" s="24" t="n">
        <f aca="false">IF(($A140&lt;Inputs!$B$9*(1+2)),D140*(1-$E$116),D140)+IF($A140&lt;Inputs!$B$9*2,C140*$E$116,0)</f>
        <v>0.00467290111350711</v>
      </c>
      <c r="E141" s="24" t="n">
        <f aca="false">IF(($A140&lt;Inputs!$B$9*(1+3)),E140*(1-$E$116),E140)+IF($A140&lt;Inputs!$B$9*3,D140*$E$116,0)</f>
        <v>0.000198166883120666</v>
      </c>
      <c r="F141" s="24" t="n">
        <f aca="false">IF(($A140&lt;Inputs!$B$9*(1+4)),F140*(1-$E$116),F140)+IF($A140&lt;Inputs!$B$9*4,E140*$E$116,0)+IF(($A140&lt;Inputs!$B$9*(1+4)),F140*$E$116,0)</f>
        <v>5.53801673930969E-006</v>
      </c>
      <c r="G141" s="24" t="n">
        <f aca="false">IF($A141&lt;Inputs!$B$9*(1+0),B141,0)+IF($A141&lt;Inputs!$B$9*(1+1),C141,0)+IF($A141&lt;Inputs!$B$9*(1+2),D141,0)+IF($A141&lt;Inputs!$B$9*(1+3),E141,0)+IF($A141&lt;Inputs!$B$9*(1+4),F141,0)</f>
        <v>0.00487660601336708</v>
      </c>
    </row>
    <row r="142" customFormat="false" ht="15" hidden="false" customHeight="false" outlineLevel="0" collapsed="false">
      <c r="A142" s="4" t="n">
        <v>21</v>
      </c>
      <c r="B142" s="24" t="n">
        <f aca="false">IF(($A141&lt;Inputs!$B$9*(1+0)),B141*(1-$E$116),B141)</f>
        <v>0.941666186265363</v>
      </c>
      <c r="C142" s="24" t="n">
        <f aca="false">IF(($A141&lt;Inputs!$B$9*(1+1)),C141*(1-$E$116),C141)+IF($A141&lt;Inputs!$B$9*1,B141*$E$116,0)</f>
        <v>0.0534572077212704</v>
      </c>
      <c r="D142" s="24" t="n">
        <f aca="false">IF(($A141&lt;Inputs!$B$9*(1+2)),D141*(1-$E$116),D141)+IF($A141&lt;Inputs!$B$9*2,C141*$E$116,0)</f>
        <v>0.00464489914217363</v>
      </c>
      <c r="E142" s="24" t="n">
        <f aca="false">IF(($A141&lt;Inputs!$B$9*(1+3)),E141*(1-$E$116),E141)+IF($A141&lt;Inputs!$B$9*3,D141*$E$116,0)</f>
        <v>0.000224981355886208</v>
      </c>
      <c r="F142" s="24" t="n">
        <f aca="false">IF(($A141&lt;Inputs!$B$9*(1+4)),F141*(1-$E$116),F141)+IF($A141&lt;Inputs!$B$9*4,E141*$E$116,0)+IF(($A141&lt;Inputs!$B$9*(1+4)),F141*$E$116,0)</f>
        <v>6.72551530724421E-006</v>
      </c>
      <c r="G142" s="24" t="n">
        <f aca="false">IF($A142&lt;Inputs!$B$9*(1+0),B142,0)+IF($A142&lt;Inputs!$B$9*(1+1),C142,0)+IF($A142&lt;Inputs!$B$9*(1+2),D142,0)+IF($A142&lt;Inputs!$B$9*(1+3),E142,0)+IF($A142&lt;Inputs!$B$9*(1+4),F142,0)</f>
        <v>0.00487660601336708</v>
      </c>
    </row>
    <row r="143" customFormat="false" ht="15" hidden="false" customHeight="false" outlineLevel="0" collapsed="false">
      <c r="A143" s="4" t="n">
        <v>22</v>
      </c>
      <c r="B143" s="24" t="n">
        <f aca="false">IF(($A142&lt;Inputs!$B$9*(1+0)),B142*(1-$E$116),B142)</f>
        <v>0.941666186265363</v>
      </c>
      <c r="C143" s="24" t="n">
        <f aca="false">IF(($A142&lt;Inputs!$B$9*(1+1)),C142*(1-$E$116),C142)+IF($A142&lt;Inputs!$B$9*1,B142*$E$116,0)</f>
        <v>0.0534572077212704</v>
      </c>
      <c r="D143" s="24" t="n">
        <f aca="false">IF(($A142&lt;Inputs!$B$9*(1+2)),D142*(1-$E$116),D142)+IF($A142&lt;Inputs!$B$9*2,C142*$E$116,0)</f>
        <v>0.00461706497032478</v>
      </c>
      <c r="E143" s="24" t="n">
        <f aca="false">IF(($A142&lt;Inputs!$B$9*(1+3)),E142*(1-$E$116),E142)+IF($A142&lt;Inputs!$B$9*3,D142*$E$116,0)</f>
        <v>0.000251467345668914</v>
      </c>
      <c r="F143" s="24" t="n">
        <f aca="false">IF(($A142&lt;Inputs!$B$9*(1+4)),F142*(1-$E$116),F142)+IF($A142&lt;Inputs!$B$9*4,E142*$E$116,0)+IF(($A142&lt;Inputs!$B$9*(1+4)),F142*$E$116,0)</f>
        <v>8.07369737338771E-006</v>
      </c>
      <c r="G143" s="24" t="n">
        <f aca="false">IF($A143&lt;Inputs!$B$9*(1+0),B143,0)+IF($A143&lt;Inputs!$B$9*(1+1),C143,0)+IF($A143&lt;Inputs!$B$9*(1+2),D143,0)+IF($A143&lt;Inputs!$B$9*(1+3),E143,0)+IF($A143&lt;Inputs!$B$9*(1+4),F143,0)</f>
        <v>0.00487660601336708</v>
      </c>
    </row>
    <row r="144" customFormat="false" ht="15" hidden="false" customHeight="false" outlineLevel="0" collapsed="false">
      <c r="A144" s="4" t="n">
        <v>23</v>
      </c>
      <c r="B144" s="24" t="n">
        <f aca="false">IF(($A143&lt;Inputs!$B$9*(1+0)),B143*(1-$E$116),B143)</f>
        <v>0.941666186265363</v>
      </c>
      <c r="C144" s="24" t="n">
        <f aca="false">IF(($A143&lt;Inputs!$B$9*(1+1)),C143*(1-$E$116),C143)+IF($A143&lt;Inputs!$B$9*1,B143*$E$116,0)</f>
        <v>0.0534572077212704</v>
      </c>
      <c r="D144" s="24" t="n">
        <f aca="false">IF(($A143&lt;Inputs!$B$9*(1+2)),D143*(1-$E$116),D143)+IF($A143&lt;Inputs!$B$9*2,C143*$E$116,0)</f>
        <v>0.0045893975924361</v>
      </c>
      <c r="E144" s="24" t="n">
        <f aca="false">IF(($A143&lt;Inputs!$B$9*(1+3)),E143*(1-$E$116),E143)+IF($A143&lt;Inputs!$B$9*3,D143*$E$116,0)</f>
        <v>0.0002776278264002</v>
      </c>
      <c r="F144" s="24" t="n">
        <f aca="false">IF(($A143&lt;Inputs!$B$9*(1+4)),F143*(1-$E$116),F143)+IF($A143&lt;Inputs!$B$9*4,E143*$E$116,0)+IF(($A143&lt;Inputs!$B$9*(1+4)),F143*$E$116,0)</f>
        <v>9.58059453078155E-006</v>
      </c>
      <c r="G144" s="24" t="n">
        <f aca="false">IF($A144&lt;Inputs!$B$9*(1+0),B144,0)+IF($A144&lt;Inputs!$B$9*(1+1),C144,0)+IF($A144&lt;Inputs!$B$9*(1+2),D144,0)+IF($A144&lt;Inputs!$B$9*(1+3),E144,0)+IF($A144&lt;Inputs!$B$9*(1+4),F144,0)</f>
        <v>0.00487660601336708</v>
      </c>
    </row>
    <row r="145" customFormat="false" ht="15" hidden="false" customHeight="false" outlineLevel="0" collapsed="false">
      <c r="A145" s="4" t="n">
        <v>24</v>
      </c>
      <c r="B145" s="24" t="n">
        <f aca="false">IF(($A144&lt;Inputs!$B$9*(1+0)),B144*(1-$E$116),B144)</f>
        <v>0.941666186265363</v>
      </c>
      <c r="C145" s="24" t="n">
        <f aca="false">IF(($A144&lt;Inputs!$B$9*(1+1)),C144*(1-$E$116),C144)+IF($A144&lt;Inputs!$B$9*1,B144*$E$116,0)</f>
        <v>0.0534572077212704</v>
      </c>
      <c r="D145" s="24" t="n">
        <f aca="false">IF(($A144&lt;Inputs!$B$9*(1+2)),D144*(1-$E$116),D144)+IF($A144&lt;Inputs!$B$9*2,C144*$E$116,0)</f>
        <v>0.00456189600900866</v>
      </c>
      <c r="E145" s="24" t="n">
        <f aca="false">IF(($A144&lt;Inputs!$B$9*(1+3)),E144*(1-$E$116),E144)+IF($A144&lt;Inputs!$B$9*3,D144*$E$116,0)</f>
        <v>0.000303465748164924</v>
      </c>
      <c r="F145" s="24" t="n">
        <f aca="false">IF(($A144&lt;Inputs!$B$9*(1+4)),F144*(1-$E$116),F144)+IF($A144&lt;Inputs!$B$9*4,E144*$E$116,0)+IF(($A144&lt;Inputs!$B$9*(1+4)),F144*$E$116,0)</f>
        <v>1.12442561935038E-005</v>
      </c>
      <c r="G145" s="24" t="n">
        <f aca="false">IF($A145&lt;Inputs!$B$9*(1+0),B145,0)+IF($A145&lt;Inputs!$B$9*(1+1),C145,0)+IF($A145&lt;Inputs!$B$9*(1+2),D145,0)+IF($A145&lt;Inputs!$B$9*(1+3),E145,0)+IF($A145&lt;Inputs!$B$9*(1+4),F145,0)</f>
        <v>0.00487660601336708</v>
      </c>
    </row>
    <row r="146" customFormat="false" ht="15" hidden="false" customHeight="false" outlineLevel="0" collapsed="false">
      <c r="A146" s="4" t="n">
        <v>25</v>
      </c>
      <c r="B146" s="24" t="n">
        <f aca="false">IF(($A145&lt;Inputs!$B$9*(1+0)),B145*(1-$E$116),B145)</f>
        <v>0.941666186265363</v>
      </c>
      <c r="C146" s="24" t="n">
        <f aca="false">IF(($A145&lt;Inputs!$B$9*(1+1)),C145*(1-$E$116),C145)+IF($A145&lt;Inputs!$B$9*1,B145*$E$116,0)</f>
        <v>0.0534572077212704</v>
      </c>
      <c r="D146" s="24" t="n">
        <f aca="false">IF(($A145&lt;Inputs!$B$9*(1+2)),D145*(1-$E$116),D145)+IF($A145&lt;Inputs!$B$9*2,C145*$E$116,0)</f>
        <v>0.00453455922653292</v>
      </c>
      <c r="E146" s="24" t="n">
        <f aca="false">IF(($A145&lt;Inputs!$B$9*(1+3)),E145*(1-$E$116),E145)+IF($A145&lt;Inputs!$B$9*3,D145*$E$116,0)</f>
        <v>0.000328984037380392</v>
      </c>
      <c r="F146" s="24" t="n">
        <f aca="false">IF(($A145&lt;Inputs!$B$9*(1+4)),F145*(1-$E$116),F145)+IF($A145&lt;Inputs!$B$9*4,E145*$E$116,0)+IF(($A145&lt;Inputs!$B$9*(1+4)),F145*$E$116,0)</f>
        <v>1.30627494537707E-005</v>
      </c>
      <c r="G146" s="24" t="n">
        <f aca="false">IF($A146&lt;Inputs!$B$9*(1+0),B146,0)+IF($A146&lt;Inputs!$B$9*(1+1),C146,0)+IF($A146&lt;Inputs!$B$9*(1+2),D146,0)+IF($A146&lt;Inputs!$B$9*(1+3),E146,0)+IF($A146&lt;Inputs!$B$9*(1+4),F146,0)</f>
        <v>0.00487660601336708</v>
      </c>
    </row>
    <row r="147" customFormat="false" ht="15" hidden="false" customHeight="false" outlineLevel="0" collapsed="false">
      <c r="A147" s="4" t="n">
        <v>26</v>
      </c>
      <c r="B147" s="24" t="n">
        <f aca="false">IF(($A146&lt;Inputs!$B$9*(1+0)),B146*(1-$E$116),B146)</f>
        <v>0.941666186265363</v>
      </c>
      <c r="C147" s="24" t="n">
        <f aca="false">IF(($A146&lt;Inputs!$B$9*(1+1)),C146*(1-$E$116),C146)+IF($A146&lt;Inputs!$B$9*1,B146*$E$116,0)</f>
        <v>0.0534572077212704</v>
      </c>
      <c r="D147" s="24" t="n">
        <f aca="false">IF(($A146&lt;Inputs!$B$9*(1+2)),D146*(1-$E$116),D146)+IF($A146&lt;Inputs!$B$9*2,C146*$E$116,0)</f>
        <v>0.0045073862574529</v>
      </c>
      <c r="E147" s="24" t="n">
        <f aca="false">IF(($A146&lt;Inputs!$B$9*(1+3)),E146*(1-$E$116),E146)+IF($A146&lt;Inputs!$B$9*3,D146*$E$116,0)</f>
        <v>0.000354185596974073</v>
      </c>
      <c r="F147" s="24" t="n">
        <f aca="false">IF(($A146&lt;Inputs!$B$9*(1+4)),F146*(1-$E$116),F146)+IF($A146&lt;Inputs!$B$9*4,E146*$E$116,0)+IF(($A146&lt;Inputs!$B$9*(1+4)),F146*$E$116,0)</f>
        <v>1.50341589401108E-005</v>
      </c>
      <c r="G147" s="24" t="n">
        <f aca="false">IF($A147&lt;Inputs!$B$9*(1+0),B147,0)+IF($A147&lt;Inputs!$B$9*(1+1),C147,0)+IF($A147&lt;Inputs!$B$9*(1+2),D147,0)+IF($A147&lt;Inputs!$B$9*(1+3),E147,0)+IF($A147&lt;Inputs!$B$9*(1+4),F147,0)</f>
        <v>0.00487660601336708</v>
      </c>
    </row>
    <row r="148" customFormat="false" ht="15" hidden="false" customHeight="false" outlineLevel="0" collapsed="false">
      <c r="A148" s="4" t="n">
        <v>27</v>
      </c>
      <c r="B148" s="24" t="n">
        <f aca="false">IF(($A147&lt;Inputs!$B$9*(1+0)),B147*(1-$E$116),B147)</f>
        <v>0.941666186265363</v>
      </c>
      <c r="C148" s="24" t="n">
        <f aca="false">IF(($A147&lt;Inputs!$B$9*(1+1)),C147*(1-$E$116),C147)+IF($A147&lt;Inputs!$B$9*1,B147*$E$116,0)</f>
        <v>0.0534572077212704</v>
      </c>
      <c r="D148" s="24" t="n">
        <f aca="false">IF(($A147&lt;Inputs!$B$9*(1+2)),D147*(1-$E$116),D147)+IF($A147&lt;Inputs!$B$9*2,C147*$E$116,0)</f>
        <v>0.00448037612013044</v>
      </c>
      <c r="E148" s="24" t="n">
        <f aca="false">IF(($A147&lt;Inputs!$B$9*(1+3)),E147*(1-$E$116),E147)+IF($A147&lt;Inputs!$B$9*3,D147*$E$116,0)</f>
        <v>0.000379073306560039</v>
      </c>
      <c r="F148" s="24" t="n">
        <f aca="false">IF(($A147&lt;Inputs!$B$9*(1+4)),F147*(1-$E$116),F147)+IF($A147&lt;Inputs!$B$9*4,E147*$E$116,0)+IF(($A147&lt;Inputs!$B$9*(1+4)),F147*$E$116,0)</f>
        <v>1.71565866766041E-005</v>
      </c>
      <c r="G148" s="24" t="n">
        <f aca="false">IF($A148&lt;Inputs!$B$9*(1+0),B148,0)+IF($A148&lt;Inputs!$B$9*(1+1),C148,0)+IF($A148&lt;Inputs!$B$9*(1+2),D148,0)+IF($A148&lt;Inputs!$B$9*(1+3),E148,0)+IF($A148&lt;Inputs!$B$9*(1+4),F148,0)</f>
        <v>0.00487660601336708</v>
      </c>
    </row>
    <row r="149" customFormat="false" ht="15" hidden="false" customHeight="false" outlineLevel="0" collapsed="false">
      <c r="A149" s="4" t="n">
        <v>28</v>
      </c>
      <c r="B149" s="24" t="n">
        <f aca="false">IF(($A148&lt;Inputs!$B$9*(1+0)),B148*(1-$E$116),B148)</f>
        <v>0.941666186265363</v>
      </c>
      <c r="C149" s="24" t="n">
        <f aca="false">IF(($A148&lt;Inputs!$B$9*(1+1)),C148*(1-$E$116),C148)+IF($A148&lt;Inputs!$B$9*1,B148*$E$116,0)</f>
        <v>0.0534572077212704</v>
      </c>
      <c r="D149" s="24" t="n">
        <f aca="false">IF(($A148&lt;Inputs!$B$9*(1+2)),D148*(1-$E$116),D148)+IF($A148&lt;Inputs!$B$9*2,C148*$E$116,0)</f>
        <v>0.00445352783880978</v>
      </c>
      <c r="E149" s="24" t="n">
        <f aca="false">IF(($A148&lt;Inputs!$B$9*(1+3)),E148*(1-$E$116),E148)+IF($A148&lt;Inputs!$B$9*3,D148*$E$116,0)</f>
        <v>0.000403650022614129</v>
      </c>
      <c r="F149" s="24" t="n">
        <f aca="false">IF(($A148&lt;Inputs!$B$9*(1+4)),F148*(1-$E$116),F148)+IF($A148&lt;Inputs!$B$9*4,E148*$E$116,0)+IF(($A148&lt;Inputs!$B$9*(1+4)),F148*$E$116,0)</f>
        <v>1.94281519431787E-005</v>
      </c>
      <c r="G149" s="24" t="n">
        <f aca="false">IF($A149&lt;Inputs!$B$9*(1+0),B149,0)+IF($A149&lt;Inputs!$B$9*(1+1),C149,0)+IF($A149&lt;Inputs!$B$9*(1+2),D149,0)+IF($A149&lt;Inputs!$B$9*(1+3),E149,0)+IF($A149&lt;Inputs!$B$9*(1+4),F149,0)</f>
        <v>0.00487660601336708</v>
      </c>
    </row>
    <row r="150" customFormat="false" ht="15" hidden="false" customHeight="false" outlineLevel="0" collapsed="false">
      <c r="A150" s="4" t="n">
        <v>29</v>
      </c>
      <c r="B150" s="24" t="n">
        <f aca="false">IF(($A149&lt;Inputs!$B$9*(1+0)),B149*(1-$E$116),B149)</f>
        <v>0.941666186265363</v>
      </c>
      <c r="C150" s="24" t="n">
        <f aca="false">IF(($A149&lt;Inputs!$B$9*(1+1)),C149*(1-$E$116),C149)+IF($A149&lt;Inputs!$B$9*1,B149*$E$116,0)</f>
        <v>0.0534572077212704</v>
      </c>
      <c r="D150" s="24" t="n">
        <f aca="false">IF(($A149&lt;Inputs!$B$9*(1+2)),D149*(1-$E$116),D149)+IF($A149&lt;Inputs!$B$9*2,C149*$E$116,0)</f>
        <v>0.00442684044358228</v>
      </c>
      <c r="E150" s="24" t="n">
        <f aca="false">IF(($A149&lt;Inputs!$B$9*(1+3)),E149*(1-$E$116),E149)+IF($A149&lt;Inputs!$B$9*3,D149*$E$116,0)</f>
        <v>0.000427918578647852</v>
      </c>
      <c r="F150" s="24" t="n">
        <f aca="false">IF(($A149&lt;Inputs!$B$9*(1+4)),F149*(1-$E$116),F149)+IF($A149&lt;Inputs!$B$9*4,E149*$E$116,0)+IF(($A149&lt;Inputs!$B$9*(1+4)),F149*$E$116,0)</f>
        <v>2.18469911369563E-005</v>
      </c>
      <c r="G150" s="24" t="n">
        <f aca="false">IF($A150&lt;Inputs!$B$9*(1+0),B150,0)+IF($A150&lt;Inputs!$B$9*(1+1),C150,0)+IF($A150&lt;Inputs!$B$9*(1+2),D150,0)+IF($A150&lt;Inputs!$B$9*(1+3),E150,0)+IF($A150&lt;Inputs!$B$9*(1+4),F150,0)</f>
        <v>0.00487660601336708</v>
      </c>
    </row>
    <row r="151" customFormat="false" ht="15" hidden="false" customHeight="false" outlineLevel="0" collapsed="false">
      <c r="A151" s="4" t="n">
        <v>30</v>
      </c>
      <c r="B151" s="24" t="n">
        <f aca="false">IF(($A150&lt;Inputs!$B$9*(1+0)),B150*(1-$E$116),B150)</f>
        <v>0.941666186265363</v>
      </c>
      <c r="C151" s="24" t="n">
        <f aca="false">IF(($A150&lt;Inputs!$B$9*(1+1)),C150*(1-$E$116),C150)+IF($A150&lt;Inputs!$B$9*1,B150*$E$116,0)</f>
        <v>0.0534572077212704</v>
      </c>
      <c r="D151" s="24" t="n">
        <f aca="false">IF(($A150&lt;Inputs!$B$9*(1+2)),D150*(1-$E$116),D150)+IF($A150&lt;Inputs!$B$9*2,C150*$E$116,0)</f>
        <v>0.00440031297035141</v>
      </c>
      <c r="E151" s="24" t="n">
        <f aca="false">IF(($A150&lt;Inputs!$B$9*(1+3)),E150*(1-$E$116),E150)+IF($A150&lt;Inputs!$B$9*3,D150*$E$116,0)</f>
        <v>0.000451881785381039</v>
      </c>
      <c r="F151" s="24" t="n">
        <f aca="false">IF(($A150&lt;Inputs!$B$9*(1+4)),F150*(1-$E$116),F150)+IF($A150&lt;Inputs!$B$9*4,E150*$E$116,0)+IF(($A150&lt;Inputs!$B$9*(1+4)),F150*$E$116,0)</f>
        <v>2.44112576346409E-005</v>
      </c>
      <c r="G151" s="24" t="n">
        <f aca="false">IF($A151&lt;Inputs!$B$9*(1+0),B151,0)+IF($A151&lt;Inputs!$B$9*(1+1),C151,0)+IF($A151&lt;Inputs!$B$9*(1+2),D151,0)+IF($A151&lt;Inputs!$B$9*(1+3),E151,0)+IF($A151&lt;Inputs!$B$9*(1+4),F151,0)</f>
        <v>0.000476293043015679</v>
      </c>
    </row>
    <row r="152" customFormat="false" ht="15" hidden="false" customHeight="false" outlineLevel="0" collapsed="false">
      <c r="A152" s="4" t="n">
        <v>31</v>
      </c>
      <c r="B152" s="24" t="n">
        <f aca="false">IF(($A151&lt;Inputs!$B$9*(1+0)),B151*(1-$E$116),B151)</f>
        <v>0.941666186265363</v>
      </c>
      <c r="C152" s="24" t="n">
        <f aca="false">IF(($A151&lt;Inputs!$B$9*(1+1)),C151*(1-$E$116),C151)+IF($A151&lt;Inputs!$B$9*1,B151*$E$116,0)</f>
        <v>0.0534572077212704</v>
      </c>
      <c r="D152" s="24" t="n">
        <f aca="false">IF(($A151&lt;Inputs!$B$9*(1+2)),D151*(1-$E$116),D151)+IF($A151&lt;Inputs!$B$9*2,C151*$E$116,0)</f>
        <v>0.00440031297035141</v>
      </c>
      <c r="E152" s="24" t="n">
        <f aca="false">IF(($A151&lt;Inputs!$B$9*(1+3)),E151*(1-$E$116),E151)+IF($A151&lt;Inputs!$B$9*3,D151*$E$116,0)</f>
        <v>0.000449173921359738</v>
      </c>
      <c r="F152" s="24" t="n">
        <f aca="false">IF(($A151&lt;Inputs!$B$9*(1+4)),F151*(1-$E$116),F151)+IF($A151&lt;Inputs!$B$9*4,E151*$E$116,0)+IF(($A151&lt;Inputs!$B$9*(1+4)),F151*$E$116,0)</f>
        <v>2.71191216559412E-005</v>
      </c>
      <c r="G152" s="24" t="n">
        <f aca="false">IF($A152&lt;Inputs!$B$9*(1+0),B152,0)+IF($A152&lt;Inputs!$B$9*(1+1),C152,0)+IF($A152&lt;Inputs!$B$9*(1+2),D152,0)+IF($A152&lt;Inputs!$B$9*(1+3),E152,0)+IF($A152&lt;Inputs!$B$9*(1+4),F152,0)</f>
        <v>0.000476293043015679</v>
      </c>
    </row>
    <row r="153" customFormat="false" ht="15" hidden="false" customHeight="false" outlineLevel="0" collapsed="false">
      <c r="A153" s="4" t="n">
        <v>32</v>
      </c>
      <c r="B153" s="24" t="n">
        <f aca="false">IF(($A152&lt;Inputs!$B$9*(1+0)),B152*(1-$E$116),B152)</f>
        <v>0.941666186265363</v>
      </c>
      <c r="C153" s="24" t="n">
        <f aca="false">IF(($A152&lt;Inputs!$B$9*(1+1)),C152*(1-$E$116),C152)+IF($A152&lt;Inputs!$B$9*1,B152*$E$116,0)</f>
        <v>0.0534572077212704</v>
      </c>
      <c r="D153" s="24" t="n">
        <f aca="false">IF(($A152&lt;Inputs!$B$9*(1+2)),D152*(1-$E$116),D152)+IF($A152&lt;Inputs!$B$9*2,C152*$E$116,0)</f>
        <v>0.00440031297035141</v>
      </c>
      <c r="E153" s="24" t="n">
        <f aca="false">IF(($A152&lt;Inputs!$B$9*(1+3)),E152*(1-$E$116),E152)+IF($A152&lt;Inputs!$B$9*3,D152*$E$116,0)</f>
        <v>0.000446482283988405</v>
      </c>
      <c r="F153" s="24" t="n">
        <f aca="false">IF(($A152&lt;Inputs!$B$9*(1+4)),F152*(1-$E$116),F152)+IF($A152&lt;Inputs!$B$9*4,E152*$E$116,0)+IF(($A152&lt;Inputs!$B$9*(1+4)),F152*$E$116,0)</f>
        <v>2.98107590272745E-005</v>
      </c>
      <c r="G153" s="24" t="n">
        <f aca="false">IF($A153&lt;Inputs!$B$9*(1+0),B153,0)+IF($A153&lt;Inputs!$B$9*(1+1),C153,0)+IF($A153&lt;Inputs!$B$9*(1+2),D153,0)+IF($A153&lt;Inputs!$B$9*(1+3),E153,0)+IF($A153&lt;Inputs!$B$9*(1+4),F153,0)</f>
        <v>0.000476293043015679</v>
      </c>
    </row>
    <row r="154" customFormat="false" ht="15" hidden="false" customHeight="false" outlineLevel="0" collapsed="false">
      <c r="A154" s="4" t="n">
        <v>33</v>
      </c>
      <c r="B154" s="24" t="n">
        <f aca="false">IF(($A153&lt;Inputs!$B$9*(1+0)),B153*(1-$E$116),B153)</f>
        <v>0.941666186265363</v>
      </c>
      <c r="C154" s="24" t="n">
        <f aca="false">IF(($A153&lt;Inputs!$B$9*(1+1)),C153*(1-$E$116),C153)+IF($A153&lt;Inputs!$B$9*1,B153*$E$116,0)</f>
        <v>0.0534572077212704</v>
      </c>
      <c r="D154" s="24" t="n">
        <f aca="false">IF(($A153&lt;Inputs!$B$9*(1+2)),D153*(1-$E$116),D153)+IF($A153&lt;Inputs!$B$9*2,C153*$E$116,0)</f>
        <v>0.00440031297035141</v>
      </c>
      <c r="E154" s="24" t="n">
        <f aca="false">IF(($A153&lt;Inputs!$B$9*(1+3)),E153*(1-$E$116),E153)+IF($A153&lt;Inputs!$B$9*3,D153*$E$116,0)</f>
        <v>0.000443806776030188</v>
      </c>
      <c r="F154" s="24" t="n">
        <f aca="false">IF(($A153&lt;Inputs!$B$9*(1+4)),F153*(1-$E$116),F153)+IF($A153&lt;Inputs!$B$9*4,E153*$E$116,0)+IF(($A153&lt;Inputs!$B$9*(1+4)),F153*$E$116,0)</f>
        <v>3.24862669854913E-005</v>
      </c>
      <c r="G154" s="24" t="n">
        <f aca="false">IF($A154&lt;Inputs!$B$9*(1+0),B154,0)+IF($A154&lt;Inputs!$B$9*(1+1),C154,0)+IF($A154&lt;Inputs!$B$9*(1+2),D154,0)+IF($A154&lt;Inputs!$B$9*(1+3),E154,0)+IF($A154&lt;Inputs!$B$9*(1+4),F154,0)</f>
        <v>0.00047629304301568</v>
      </c>
    </row>
    <row r="155" customFormat="false" ht="15" hidden="false" customHeight="false" outlineLevel="0" collapsed="false">
      <c r="A155" s="4" t="n">
        <v>34</v>
      </c>
      <c r="B155" s="24" t="n">
        <f aca="false">IF(($A154&lt;Inputs!$B$9*(1+0)),B154*(1-$E$116),B154)</f>
        <v>0.941666186265363</v>
      </c>
      <c r="C155" s="24" t="n">
        <f aca="false">IF(($A154&lt;Inputs!$B$9*(1+1)),C154*(1-$E$116),C154)+IF($A154&lt;Inputs!$B$9*1,B154*$E$116,0)</f>
        <v>0.0534572077212704</v>
      </c>
      <c r="D155" s="24" t="n">
        <f aca="false">IF(($A154&lt;Inputs!$B$9*(1+2)),D154*(1-$E$116),D154)+IF($A154&lt;Inputs!$B$9*2,C154*$E$116,0)</f>
        <v>0.00440031297035141</v>
      </c>
      <c r="E155" s="24" t="n">
        <f aca="false">IF(($A154&lt;Inputs!$B$9*(1+3)),E154*(1-$E$116),E154)+IF($A154&lt;Inputs!$B$9*3,D154*$E$116,0)</f>
        <v>0.000441147300830921</v>
      </c>
      <c r="F155" s="24" t="n">
        <f aca="false">IF(($A154&lt;Inputs!$B$9*(1+4)),F154*(1-$E$116),F154)+IF($A154&lt;Inputs!$B$9*4,E154*$E$116,0)+IF(($A154&lt;Inputs!$B$9*(1+4)),F154*$E$116,0)</f>
        <v>3.51457421847585E-005</v>
      </c>
      <c r="G155" s="24" t="n">
        <f aca="false">IF($A155&lt;Inputs!$B$9*(1+0),B155,0)+IF($A155&lt;Inputs!$B$9*(1+1),C155,0)+IF($A155&lt;Inputs!$B$9*(1+2),D155,0)+IF($A155&lt;Inputs!$B$9*(1+3),E155,0)+IF($A155&lt;Inputs!$B$9*(1+4),F155,0)</f>
        <v>0.00047629304301568</v>
      </c>
    </row>
    <row r="156" customFormat="false" ht="15" hidden="false" customHeight="false" outlineLevel="0" collapsed="false">
      <c r="A156" s="4" t="n">
        <v>35</v>
      </c>
      <c r="B156" s="24" t="n">
        <f aca="false">IF(($A155&lt;Inputs!$B$9*(1+0)),B155*(1-$E$116),B155)</f>
        <v>0.941666186265363</v>
      </c>
      <c r="C156" s="24" t="n">
        <f aca="false">IF(($A155&lt;Inputs!$B$9*(1+1)),C155*(1-$E$116),C155)+IF($A155&lt;Inputs!$B$9*1,B155*$E$116,0)</f>
        <v>0.0534572077212704</v>
      </c>
      <c r="D156" s="24" t="n">
        <f aca="false">IF(($A155&lt;Inputs!$B$9*(1+2)),D155*(1-$E$116),D155)+IF($A155&lt;Inputs!$B$9*2,C155*$E$116,0)</f>
        <v>0.00440031297035141</v>
      </c>
      <c r="E156" s="24" t="n">
        <f aca="false">IF(($A155&lt;Inputs!$B$9*(1+3)),E155*(1-$E$116),E155)+IF($A155&lt;Inputs!$B$9*3,D155*$E$116,0)</f>
        <v>0.000438503762315629</v>
      </c>
      <c r="F156" s="24" t="n">
        <f aca="false">IF(($A155&lt;Inputs!$B$9*(1+4)),F155*(1-$E$116),F155)+IF($A155&lt;Inputs!$B$9*4,E155*$E$116,0)+IF(($A155&lt;Inputs!$B$9*(1+4)),F155*$E$116,0)</f>
        <v>3.77892807000507E-005</v>
      </c>
      <c r="G156" s="24" t="n">
        <f aca="false">IF($A156&lt;Inputs!$B$9*(1+0),B156,0)+IF($A156&lt;Inputs!$B$9*(1+1),C156,0)+IF($A156&lt;Inputs!$B$9*(1+2),D156,0)+IF($A156&lt;Inputs!$B$9*(1+3),E156,0)+IF($A156&lt;Inputs!$B$9*(1+4),F156,0)</f>
        <v>0.00047629304301568</v>
      </c>
    </row>
    <row r="157" customFormat="false" ht="15" hidden="false" customHeight="false" outlineLevel="0" collapsed="false">
      <c r="A157" s="4" t="n">
        <v>36</v>
      </c>
      <c r="B157" s="24" t="n">
        <f aca="false">IF(($A156&lt;Inputs!$B$9*(1+0)),B156*(1-$E$116),B156)</f>
        <v>0.941666186265363</v>
      </c>
      <c r="C157" s="24" t="n">
        <f aca="false">IF(($A156&lt;Inputs!$B$9*(1+1)),C156*(1-$E$116),C156)+IF($A156&lt;Inputs!$B$9*1,B156*$E$116,0)</f>
        <v>0.0534572077212704</v>
      </c>
      <c r="D157" s="24" t="n">
        <f aca="false">IF(($A156&lt;Inputs!$B$9*(1+2)),D156*(1-$E$116),D156)+IF($A156&lt;Inputs!$B$9*2,C156*$E$116,0)</f>
        <v>0.00440031297035141</v>
      </c>
      <c r="E157" s="24" t="n">
        <f aca="false">IF(($A156&lt;Inputs!$B$9*(1+3)),E156*(1-$E$116),E156)+IF($A156&lt;Inputs!$B$9*3,D156*$E$116,0)</f>
        <v>0.000435876064985058</v>
      </c>
      <c r="F157" s="24" t="n">
        <f aca="false">IF(($A156&lt;Inputs!$B$9*(1+4)),F156*(1-$E$116),F156)+IF($A156&lt;Inputs!$B$9*4,E156*$E$116,0)+IF(($A156&lt;Inputs!$B$9*(1+4)),F156*$E$116,0)</f>
        <v>4.04169780306215E-005</v>
      </c>
      <c r="G157" s="24" t="n">
        <f aca="false">IF($A157&lt;Inputs!$B$9*(1+0),B157,0)+IF($A157&lt;Inputs!$B$9*(1+1),C157,0)+IF($A157&lt;Inputs!$B$9*(1+2),D157,0)+IF($A157&lt;Inputs!$B$9*(1+3),E157,0)+IF($A157&lt;Inputs!$B$9*(1+4),F157,0)</f>
        <v>0.00047629304301568</v>
      </c>
    </row>
    <row r="158" customFormat="false" ht="15" hidden="false" customHeight="false" outlineLevel="0" collapsed="false">
      <c r="A158" s="4" t="n">
        <v>37</v>
      </c>
      <c r="B158" s="24" t="n">
        <f aca="false">IF(($A157&lt;Inputs!$B$9*(1+0)),B157*(1-$E$116),B157)</f>
        <v>0.941666186265363</v>
      </c>
      <c r="C158" s="24" t="n">
        <f aca="false">IF(($A157&lt;Inputs!$B$9*(1+1)),C157*(1-$E$116),C157)+IF($A157&lt;Inputs!$B$9*1,B157*$E$116,0)</f>
        <v>0.0534572077212704</v>
      </c>
      <c r="D158" s="24" t="n">
        <f aca="false">IF(($A157&lt;Inputs!$B$9*(1+2)),D157*(1-$E$116),D157)+IF($A157&lt;Inputs!$B$9*2,C157*$E$116,0)</f>
        <v>0.00440031297035141</v>
      </c>
      <c r="E158" s="24" t="n">
        <f aca="false">IF(($A157&lt;Inputs!$B$9*(1+3)),E157*(1-$E$116),E157)+IF($A157&lt;Inputs!$B$9*3,D157*$E$116,0)</f>
        <v>0.000433264113912227</v>
      </c>
      <c r="F158" s="24" t="n">
        <f aca="false">IF(($A157&lt;Inputs!$B$9*(1+4)),F157*(1-$E$116),F157)+IF($A157&lt;Inputs!$B$9*4,E157*$E$116,0)+IF(($A157&lt;Inputs!$B$9*(1+4)),F157*$E$116,0)</f>
        <v>4.30289291034529E-005</v>
      </c>
      <c r="G158" s="24" t="n">
        <f aca="false">IF($A158&lt;Inputs!$B$9*(1+0),B158,0)+IF($A158&lt;Inputs!$B$9*(1+1),C158,0)+IF($A158&lt;Inputs!$B$9*(1+2),D158,0)+IF($A158&lt;Inputs!$B$9*(1+3),E158,0)+IF($A158&lt;Inputs!$B$9*(1+4),F158,0)</f>
        <v>0.00047629304301568</v>
      </c>
    </row>
    <row r="159" customFormat="false" ht="15" hidden="false" customHeight="false" outlineLevel="0" collapsed="false">
      <c r="A159" s="4" t="n">
        <v>38</v>
      </c>
      <c r="B159" s="24" t="n">
        <f aca="false">IF(($A158&lt;Inputs!$B$9*(1+0)),B158*(1-$E$116),B158)</f>
        <v>0.941666186265363</v>
      </c>
      <c r="C159" s="24" t="n">
        <f aca="false">IF(($A158&lt;Inputs!$B$9*(1+1)),C158*(1-$E$116),C158)+IF($A158&lt;Inputs!$B$9*1,B158*$E$116,0)</f>
        <v>0.0534572077212704</v>
      </c>
      <c r="D159" s="24" t="n">
        <f aca="false">IF(($A158&lt;Inputs!$B$9*(1+2)),D158*(1-$E$116),D158)+IF($A158&lt;Inputs!$B$9*2,C158*$E$116,0)</f>
        <v>0.00440031297035141</v>
      </c>
      <c r="E159" s="24" t="n">
        <f aca="false">IF(($A158&lt;Inputs!$B$9*(1+3)),E158*(1-$E$116),E158)+IF($A158&lt;Inputs!$B$9*3,D158*$E$116,0)</f>
        <v>0.000430667814738994</v>
      </c>
      <c r="F159" s="24" t="n">
        <f aca="false">IF(($A158&lt;Inputs!$B$9*(1+4)),F158*(1-$E$116),F158)+IF($A158&lt;Inputs!$B$9*4,E158*$E$116,0)+IF(($A158&lt;Inputs!$B$9*(1+4)),F158*$E$116,0)</f>
        <v>4.56252282766851E-005</v>
      </c>
      <c r="G159" s="24" t="n">
        <f aca="false">IF($A159&lt;Inputs!$B$9*(1+0),B159,0)+IF($A159&lt;Inputs!$B$9*(1+1),C159,0)+IF($A159&lt;Inputs!$B$9*(1+2),D159,0)+IF($A159&lt;Inputs!$B$9*(1+3),E159,0)+IF($A159&lt;Inputs!$B$9*(1+4),F159,0)</f>
        <v>0.00047629304301568</v>
      </c>
    </row>
    <row r="160" customFormat="false" ht="15" hidden="false" customHeight="false" outlineLevel="0" collapsed="false">
      <c r="A160" s="4" t="n">
        <v>39</v>
      </c>
      <c r="B160" s="24" t="n">
        <f aca="false">IF(($A159&lt;Inputs!$B$9*(1+0)),B159*(1-$E$116),B159)</f>
        <v>0.941666186265363</v>
      </c>
      <c r="C160" s="24" t="n">
        <f aca="false">IF(($A159&lt;Inputs!$B$9*(1+1)),C159*(1-$E$116),C159)+IF($A159&lt;Inputs!$B$9*1,B159*$E$116,0)</f>
        <v>0.0534572077212704</v>
      </c>
      <c r="D160" s="24" t="n">
        <f aca="false">IF(($A159&lt;Inputs!$B$9*(1+2)),D159*(1-$E$116),D159)+IF($A159&lt;Inputs!$B$9*2,C159*$E$116,0)</f>
        <v>0.00440031297035141</v>
      </c>
      <c r="E160" s="24" t="n">
        <f aca="false">IF(($A159&lt;Inputs!$B$9*(1+3)),E159*(1-$E$116),E159)+IF($A159&lt;Inputs!$B$9*3,D159*$E$116,0)</f>
        <v>0.000428087073672655</v>
      </c>
      <c r="F160" s="24" t="n">
        <f aca="false">IF(($A159&lt;Inputs!$B$9*(1+4)),F159*(1-$E$116),F159)+IF($A159&lt;Inputs!$B$9*4,E159*$E$116,0)+IF(($A159&lt;Inputs!$B$9*(1+4)),F159*$E$116,0)</f>
        <v>4.82059693430248E-005</v>
      </c>
      <c r="G160" s="24" t="n">
        <f aca="false">IF($A160&lt;Inputs!$B$9*(1+0),B160,0)+IF($A160&lt;Inputs!$B$9*(1+1),C160,0)+IF($A160&lt;Inputs!$B$9*(1+2),D160,0)+IF($A160&lt;Inputs!$B$9*(1+3),E160,0)+IF($A160&lt;Inputs!$B$9*(1+4),F160,0)</f>
        <v>0.00047629304301568</v>
      </c>
    </row>
    <row r="161" customFormat="false" ht="15" hidden="false" customHeight="false" outlineLevel="0" collapsed="false">
      <c r="A161" s="4" t="n">
        <v>40</v>
      </c>
      <c r="B161" s="24" t="n">
        <f aca="false">IF(($A160&lt;Inputs!$B$9*(1+0)),B160*(1-$E$116),B160)</f>
        <v>0.941666186265363</v>
      </c>
      <c r="C161" s="24" t="n">
        <f aca="false">IF(($A160&lt;Inputs!$B$9*(1+1)),C160*(1-$E$116),C160)+IF($A160&lt;Inputs!$B$9*1,B160*$E$116,0)</f>
        <v>0.0534572077212704</v>
      </c>
      <c r="D161" s="24" t="n">
        <f aca="false">IF(($A160&lt;Inputs!$B$9*(1+2)),D160*(1-$E$116),D160)+IF($A160&lt;Inputs!$B$9*2,C160*$E$116,0)</f>
        <v>0.00440031297035141</v>
      </c>
      <c r="E161" s="24" t="n">
        <f aca="false">IF(($A160&lt;Inputs!$B$9*(1+3)),E160*(1-$E$116),E160)+IF($A160&lt;Inputs!$B$9*3,D160*$E$116,0)</f>
        <v>0.000425521797482546</v>
      </c>
      <c r="F161" s="24" t="n">
        <f aca="false">IF(($A160&lt;Inputs!$B$9*(1+4)),F160*(1-$E$116),F160)+IF($A160&lt;Inputs!$B$9*4,E160*$E$116,0)+IF(($A160&lt;Inputs!$B$9*(1+4)),F160*$E$116,0)</f>
        <v>5.07712455331338E-005</v>
      </c>
      <c r="G161" s="24" t="n">
        <f aca="false">IF($A161&lt;Inputs!$B$9*(1+0),B161,0)+IF($A161&lt;Inputs!$B$9*(1+1),C161,0)+IF($A161&lt;Inputs!$B$9*(1+2),D161,0)+IF($A161&lt;Inputs!$B$9*(1+3),E161,0)+IF($A161&lt;Inputs!$B$9*(1+4),F161,0)</f>
        <v>5.07712455331338E-005</v>
      </c>
    </row>
    <row r="162" customFormat="false" ht="15" hidden="false" customHeight="false" outlineLevel="0" collapsed="false">
      <c r="A162" s="4" t="n">
        <v>41</v>
      </c>
      <c r="B162" s="24" t="n">
        <f aca="false">IF(($A161&lt;Inputs!$B$9*(1+0)),B161*(1-$E$116),B161)</f>
        <v>0.941666186265363</v>
      </c>
      <c r="C162" s="24" t="n">
        <f aca="false">IF(($A161&lt;Inputs!$B$9*(1+1)),C161*(1-$E$116),C161)+IF($A161&lt;Inputs!$B$9*1,B161*$E$116,0)</f>
        <v>0.0534572077212704</v>
      </c>
      <c r="D162" s="24" t="n">
        <f aca="false">IF(($A161&lt;Inputs!$B$9*(1+2)),D161*(1-$E$116),D161)+IF($A161&lt;Inputs!$B$9*2,C161*$E$116,0)</f>
        <v>0.00440031297035141</v>
      </c>
      <c r="E162" s="24" t="n">
        <f aca="false">IF(($A161&lt;Inputs!$B$9*(1+3)),E161*(1-$E$116),E161)+IF($A161&lt;Inputs!$B$9*3,D161*$E$116,0)</f>
        <v>0.000425521797482546</v>
      </c>
      <c r="F162" s="24" t="n">
        <f aca="false">IF(($A161&lt;Inputs!$B$9*(1+4)),F161*(1-$E$116),F161)+IF($A161&lt;Inputs!$B$9*4,E161*$E$116,0)+IF(($A161&lt;Inputs!$B$9*(1+4)),F161*$E$116,0)</f>
        <v>5.07712455331338E-005</v>
      </c>
      <c r="G162" s="24" t="n">
        <f aca="false">IF($A162&lt;Inputs!$B$9*(1+0),B162,0)+IF($A162&lt;Inputs!$B$9*(1+1),C162,0)+IF($A162&lt;Inputs!$B$9*(1+2),D162,0)+IF($A162&lt;Inputs!$B$9*(1+3),E162,0)+IF($A162&lt;Inputs!$B$9*(1+4),F162,0)</f>
        <v>5.07712455331338E-005</v>
      </c>
    </row>
    <row r="163" customFormat="false" ht="15" hidden="false" customHeight="false" outlineLevel="0" collapsed="false">
      <c r="A163" s="4" t="n">
        <v>42</v>
      </c>
      <c r="B163" s="24" t="n">
        <f aca="false">IF(($A162&lt;Inputs!$B$9*(1+0)),B162*(1-$E$116),B162)</f>
        <v>0.941666186265363</v>
      </c>
      <c r="C163" s="24" t="n">
        <f aca="false">IF(($A162&lt;Inputs!$B$9*(1+1)),C162*(1-$E$116),C162)+IF($A162&lt;Inputs!$B$9*1,B162*$E$116,0)</f>
        <v>0.0534572077212704</v>
      </c>
      <c r="D163" s="24" t="n">
        <f aca="false">IF(($A162&lt;Inputs!$B$9*(1+2)),D162*(1-$E$116),D162)+IF($A162&lt;Inputs!$B$9*2,C162*$E$116,0)</f>
        <v>0.00440031297035141</v>
      </c>
      <c r="E163" s="24" t="n">
        <f aca="false">IF(($A162&lt;Inputs!$B$9*(1+3)),E162*(1-$E$116),E162)+IF($A162&lt;Inputs!$B$9*3,D162*$E$116,0)</f>
        <v>0.000425521797482546</v>
      </c>
      <c r="F163" s="24" t="n">
        <f aca="false">IF(($A162&lt;Inputs!$B$9*(1+4)),F162*(1-$E$116),F162)+IF($A162&lt;Inputs!$B$9*4,E162*$E$116,0)+IF(($A162&lt;Inputs!$B$9*(1+4)),F162*$E$116,0)</f>
        <v>5.07712455331338E-005</v>
      </c>
      <c r="G163" s="24" t="n">
        <f aca="false">IF($A163&lt;Inputs!$B$9*(1+0),B163,0)+IF($A163&lt;Inputs!$B$9*(1+1),C163,0)+IF($A163&lt;Inputs!$B$9*(1+2),D163,0)+IF($A163&lt;Inputs!$B$9*(1+3),E163,0)+IF($A163&lt;Inputs!$B$9*(1+4),F163,0)</f>
        <v>5.07712455331338E-005</v>
      </c>
    </row>
    <row r="164" customFormat="false" ht="15" hidden="false" customHeight="false" outlineLevel="0" collapsed="false">
      <c r="A164" s="4" t="n">
        <v>43</v>
      </c>
      <c r="B164" s="24" t="n">
        <f aca="false">IF(($A163&lt;Inputs!$B$9*(1+0)),B163*(1-$E$116),B163)</f>
        <v>0.941666186265363</v>
      </c>
      <c r="C164" s="24" t="n">
        <f aca="false">IF(($A163&lt;Inputs!$B$9*(1+1)),C163*(1-$E$116),C163)+IF($A163&lt;Inputs!$B$9*1,B163*$E$116,0)</f>
        <v>0.0534572077212704</v>
      </c>
      <c r="D164" s="24" t="n">
        <f aca="false">IF(($A163&lt;Inputs!$B$9*(1+2)),D163*(1-$E$116),D163)+IF($A163&lt;Inputs!$B$9*2,C163*$E$116,0)</f>
        <v>0.00440031297035141</v>
      </c>
      <c r="E164" s="24" t="n">
        <f aca="false">IF(($A163&lt;Inputs!$B$9*(1+3)),E163*(1-$E$116),E163)+IF($A163&lt;Inputs!$B$9*3,D163*$E$116,0)</f>
        <v>0.000425521797482546</v>
      </c>
      <c r="F164" s="24" t="n">
        <f aca="false">IF(($A163&lt;Inputs!$B$9*(1+4)),F163*(1-$E$116),F163)+IF($A163&lt;Inputs!$B$9*4,E163*$E$116,0)+IF(($A163&lt;Inputs!$B$9*(1+4)),F163*$E$116,0)</f>
        <v>5.07712455331338E-005</v>
      </c>
      <c r="G164" s="24" t="n">
        <f aca="false">IF($A164&lt;Inputs!$B$9*(1+0),B164,0)+IF($A164&lt;Inputs!$B$9*(1+1),C164,0)+IF($A164&lt;Inputs!$B$9*(1+2),D164,0)+IF($A164&lt;Inputs!$B$9*(1+3),E164,0)+IF($A164&lt;Inputs!$B$9*(1+4),F164,0)</f>
        <v>5.07712455331338E-005</v>
      </c>
    </row>
    <row r="165" customFormat="false" ht="15" hidden="false" customHeight="false" outlineLevel="0" collapsed="false">
      <c r="A165" s="4" t="n">
        <v>44</v>
      </c>
      <c r="B165" s="24" t="n">
        <f aca="false">IF(($A164&lt;Inputs!$B$9*(1+0)),B164*(1-$E$116),B164)</f>
        <v>0.941666186265363</v>
      </c>
      <c r="C165" s="24" t="n">
        <f aca="false">IF(($A164&lt;Inputs!$B$9*(1+1)),C164*(1-$E$116),C164)+IF($A164&lt;Inputs!$B$9*1,B164*$E$116,0)</f>
        <v>0.0534572077212704</v>
      </c>
      <c r="D165" s="24" t="n">
        <f aca="false">IF(($A164&lt;Inputs!$B$9*(1+2)),D164*(1-$E$116),D164)+IF($A164&lt;Inputs!$B$9*2,C164*$E$116,0)</f>
        <v>0.00440031297035141</v>
      </c>
      <c r="E165" s="24" t="n">
        <f aca="false">IF(($A164&lt;Inputs!$B$9*(1+3)),E164*(1-$E$116),E164)+IF($A164&lt;Inputs!$B$9*3,D164*$E$116,0)</f>
        <v>0.000425521797482546</v>
      </c>
      <c r="F165" s="24" t="n">
        <f aca="false">IF(($A164&lt;Inputs!$B$9*(1+4)),F164*(1-$E$116),F164)+IF($A164&lt;Inputs!$B$9*4,E164*$E$116,0)+IF(($A164&lt;Inputs!$B$9*(1+4)),F164*$E$116,0)</f>
        <v>5.07712455331338E-005</v>
      </c>
      <c r="G165" s="24" t="n">
        <f aca="false">IF($A165&lt;Inputs!$B$9*(1+0),B165,0)+IF($A165&lt;Inputs!$B$9*(1+1),C165,0)+IF($A165&lt;Inputs!$B$9*(1+2),D165,0)+IF($A165&lt;Inputs!$B$9*(1+3),E165,0)+IF($A165&lt;Inputs!$B$9*(1+4),F165,0)</f>
        <v>5.07712455331338E-005</v>
      </c>
    </row>
    <row r="166" customFormat="false" ht="15" hidden="false" customHeight="false" outlineLevel="0" collapsed="false">
      <c r="A166" s="4" t="n">
        <v>45</v>
      </c>
      <c r="B166" s="24" t="n">
        <f aca="false">IF(($A165&lt;Inputs!$B$9*(1+0)),B165*(1-$E$116),B165)</f>
        <v>0.941666186265363</v>
      </c>
      <c r="C166" s="24" t="n">
        <f aca="false">IF(($A165&lt;Inputs!$B$9*(1+1)),C165*(1-$E$116),C165)+IF($A165&lt;Inputs!$B$9*1,B165*$E$116,0)</f>
        <v>0.0534572077212704</v>
      </c>
      <c r="D166" s="24" t="n">
        <f aca="false">IF(($A165&lt;Inputs!$B$9*(1+2)),D165*(1-$E$116),D165)+IF($A165&lt;Inputs!$B$9*2,C165*$E$116,0)</f>
        <v>0.00440031297035141</v>
      </c>
      <c r="E166" s="24" t="n">
        <f aca="false">IF(($A165&lt;Inputs!$B$9*(1+3)),E165*(1-$E$116),E165)+IF($A165&lt;Inputs!$B$9*3,D165*$E$116,0)</f>
        <v>0.000425521797482546</v>
      </c>
      <c r="F166" s="24" t="n">
        <f aca="false">IF(($A165&lt;Inputs!$B$9*(1+4)),F165*(1-$E$116),F165)+IF($A165&lt;Inputs!$B$9*4,E165*$E$116,0)+IF(($A165&lt;Inputs!$B$9*(1+4)),F165*$E$116,0)</f>
        <v>5.07712455331338E-005</v>
      </c>
      <c r="G166" s="24" t="n">
        <f aca="false">IF($A166&lt;Inputs!$B$9*(1+0),B166,0)+IF($A166&lt;Inputs!$B$9*(1+1),C166,0)+IF($A166&lt;Inputs!$B$9*(1+2),D166,0)+IF($A166&lt;Inputs!$B$9*(1+3),E166,0)+IF($A166&lt;Inputs!$B$9*(1+4),F166,0)</f>
        <v>5.07712455331338E-005</v>
      </c>
    </row>
    <row r="167" customFormat="false" ht="15" hidden="false" customHeight="false" outlineLevel="0" collapsed="false">
      <c r="A167" s="4" t="n">
        <v>46</v>
      </c>
      <c r="B167" s="24" t="n">
        <f aca="false">IF(($A166&lt;Inputs!$B$9*(1+0)),B166*(1-$E$116),B166)</f>
        <v>0.941666186265363</v>
      </c>
      <c r="C167" s="24" t="n">
        <f aca="false">IF(($A166&lt;Inputs!$B$9*(1+1)),C166*(1-$E$116),C166)+IF($A166&lt;Inputs!$B$9*1,B166*$E$116,0)</f>
        <v>0.0534572077212704</v>
      </c>
      <c r="D167" s="24" t="n">
        <f aca="false">IF(($A166&lt;Inputs!$B$9*(1+2)),D166*(1-$E$116),D166)+IF($A166&lt;Inputs!$B$9*2,C166*$E$116,0)</f>
        <v>0.00440031297035141</v>
      </c>
      <c r="E167" s="24" t="n">
        <f aca="false">IF(($A166&lt;Inputs!$B$9*(1+3)),E166*(1-$E$116),E166)+IF($A166&lt;Inputs!$B$9*3,D166*$E$116,0)</f>
        <v>0.000425521797482546</v>
      </c>
      <c r="F167" s="24" t="n">
        <f aca="false">IF(($A166&lt;Inputs!$B$9*(1+4)),F166*(1-$E$116),F166)+IF($A166&lt;Inputs!$B$9*4,E166*$E$116,0)+IF(($A166&lt;Inputs!$B$9*(1+4)),F166*$E$116,0)</f>
        <v>5.07712455331338E-005</v>
      </c>
      <c r="G167" s="24" t="n">
        <f aca="false">IF($A167&lt;Inputs!$B$9*(1+0),B167,0)+IF($A167&lt;Inputs!$B$9*(1+1),C167,0)+IF($A167&lt;Inputs!$B$9*(1+2),D167,0)+IF($A167&lt;Inputs!$B$9*(1+3),E167,0)+IF($A167&lt;Inputs!$B$9*(1+4),F167,0)</f>
        <v>5.07712455331338E-005</v>
      </c>
    </row>
    <row r="168" customFormat="false" ht="15" hidden="false" customHeight="false" outlineLevel="0" collapsed="false">
      <c r="A168" s="4" t="n">
        <v>47</v>
      </c>
      <c r="B168" s="24" t="n">
        <f aca="false">IF(($A167&lt;Inputs!$B$9*(1+0)),B167*(1-$E$116),B167)</f>
        <v>0.941666186265363</v>
      </c>
      <c r="C168" s="24" t="n">
        <f aca="false">IF(($A167&lt;Inputs!$B$9*(1+1)),C167*(1-$E$116),C167)+IF($A167&lt;Inputs!$B$9*1,B167*$E$116,0)</f>
        <v>0.0534572077212704</v>
      </c>
      <c r="D168" s="24" t="n">
        <f aca="false">IF(($A167&lt;Inputs!$B$9*(1+2)),D167*(1-$E$116),D167)+IF($A167&lt;Inputs!$B$9*2,C167*$E$116,0)</f>
        <v>0.00440031297035141</v>
      </c>
      <c r="E168" s="24" t="n">
        <f aca="false">IF(($A167&lt;Inputs!$B$9*(1+3)),E167*(1-$E$116),E167)+IF($A167&lt;Inputs!$B$9*3,D167*$E$116,0)</f>
        <v>0.000425521797482546</v>
      </c>
      <c r="F168" s="24" t="n">
        <f aca="false">IF(($A167&lt;Inputs!$B$9*(1+4)),F167*(1-$E$116),F167)+IF($A167&lt;Inputs!$B$9*4,E167*$E$116,0)+IF(($A167&lt;Inputs!$B$9*(1+4)),F167*$E$116,0)</f>
        <v>5.07712455331338E-005</v>
      </c>
      <c r="G168" s="24" t="n">
        <f aca="false">IF($A168&lt;Inputs!$B$9*(1+0),B168,0)+IF($A168&lt;Inputs!$B$9*(1+1),C168,0)+IF($A168&lt;Inputs!$B$9*(1+2),D168,0)+IF($A168&lt;Inputs!$B$9*(1+3),E168,0)+IF($A168&lt;Inputs!$B$9*(1+4),F168,0)</f>
        <v>5.07712455331338E-005</v>
      </c>
    </row>
    <row r="169" customFormat="false" ht="15" hidden="false" customHeight="false" outlineLevel="0" collapsed="false">
      <c r="A169" s="4" t="n">
        <v>48</v>
      </c>
      <c r="B169" s="24" t="n">
        <f aca="false">IF(($A168&lt;Inputs!$B$9*(1+0)),B168*(1-$E$116),B168)</f>
        <v>0.941666186265363</v>
      </c>
      <c r="C169" s="24" t="n">
        <f aca="false">IF(($A168&lt;Inputs!$B$9*(1+1)),C168*(1-$E$116),C168)+IF($A168&lt;Inputs!$B$9*1,B168*$E$116,0)</f>
        <v>0.0534572077212704</v>
      </c>
      <c r="D169" s="24" t="n">
        <f aca="false">IF(($A168&lt;Inputs!$B$9*(1+2)),D168*(1-$E$116),D168)+IF($A168&lt;Inputs!$B$9*2,C168*$E$116,0)</f>
        <v>0.00440031297035141</v>
      </c>
      <c r="E169" s="24" t="n">
        <f aca="false">IF(($A168&lt;Inputs!$B$9*(1+3)),E168*(1-$E$116),E168)+IF($A168&lt;Inputs!$B$9*3,D168*$E$116,0)</f>
        <v>0.000425521797482546</v>
      </c>
      <c r="F169" s="24" t="n">
        <f aca="false">IF(($A168&lt;Inputs!$B$9*(1+4)),F168*(1-$E$116),F168)+IF($A168&lt;Inputs!$B$9*4,E168*$E$116,0)+IF(($A168&lt;Inputs!$B$9*(1+4)),F168*$E$116,0)</f>
        <v>5.07712455331338E-005</v>
      </c>
      <c r="G169" s="24" t="n">
        <f aca="false">IF($A169&lt;Inputs!$B$9*(1+0),B169,0)+IF($A169&lt;Inputs!$B$9*(1+1),C169,0)+IF($A169&lt;Inputs!$B$9*(1+2),D169,0)+IF($A169&lt;Inputs!$B$9*(1+3),E169,0)+IF($A169&lt;Inputs!$B$9*(1+4),F169,0)</f>
        <v>5.07712455331338E-005</v>
      </c>
    </row>
    <row r="170" customFormat="false" ht="15" hidden="false" customHeight="false" outlineLevel="0" collapsed="false">
      <c r="A170" s="4" t="n">
        <v>49</v>
      </c>
      <c r="B170" s="24" t="n">
        <f aca="false">IF(($A169&lt;Inputs!$B$9*(1+0)),B169*(1-$E$116),B169)</f>
        <v>0.941666186265363</v>
      </c>
      <c r="C170" s="24" t="n">
        <f aca="false">IF(($A169&lt;Inputs!$B$9*(1+1)),C169*(1-$E$116),C169)+IF($A169&lt;Inputs!$B$9*1,B169*$E$116,0)</f>
        <v>0.0534572077212704</v>
      </c>
      <c r="D170" s="24" t="n">
        <f aca="false">IF(($A169&lt;Inputs!$B$9*(1+2)),D169*(1-$E$116),D169)+IF($A169&lt;Inputs!$B$9*2,C169*$E$116,0)</f>
        <v>0.00440031297035141</v>
      </c>
      <c r="E170" s="24" t="n">
        <f aca="false">IF(($A169&lt;Inputs!$B$9*(1+3)),E169*(1-$E$116),E169)+IF($A169&lt;Inputs!$B$9*3,D169*$E$116,0)</f>
        <v>0.000425521797482546</v>
      </c>
      <c r="F170" s="24" t="n">
        <f aca="false">IF(($A169&lt;Inputs!$B$9*(1+4)),F169*(1-$E$116),F169)+IF($A169&lt;Inputs!$B$9*4,E169*$E$116,0)+IF(($A169&lt;Inputs!$B$9*(1+4)),F169*$E$116,0)</f>
        <v>5.07712455331338E-005</v>
      </c>
      <c r="G170" s="24" t="n">
        <f aca="false">IF($A170&lt;Inputs!$B$9*(1+0),B170,0)+IF($A170&lt;Inputs!$B$9*(1+1),C170,0)+IF($A170&lt;Inputs!$B$9*(1+2),D170,0)+IF($A170&lt;Inputs!$B$9*(1+3),E170,0)+IF($A170&lt;Inputs!$B$9*(1+4),F170,0)</f>
        <v>5.07712455331338E-005</v>
      </c>
    </row>
    <row r="171" customFormat="false" ht="15" hidden="false" customHeight="false" outlineLevel="0" collapsed="false">
      <c r="A171" s="4" t="n">
        <v>50</v>
      </c>
      <c r="B171" s="24" t="n">
        <f aca="false">IF(($A170&lt;Inputs!$B$9*(1+0)),B170*(1-$E$116),B170)</f>
        <v>0.941666186265363</v>
      </c>
      <c r="C171" s="24" t="n">
        <f aca="false">IF(($A170&lt;Inputs!$B$9*(1+1)),C170*(1-$E$116),C170)+IF($A170&lt;Inputs!$B$9*1,B170*$E$116,0)</f>
        <v>0.0534572077212704</v>
      </c>
      <c r="D171" s="24" t="n">
        <f aca="false">IF(($A170&lt;Inputs!$B$9*(1+2)),D170*(1-$E$116),D170)+IF($A170&lt;Inputs!$B$9*2,C170*$E$116,0)</f>
        <v>0.00440031297035141</v>
      </c>
      <c r="E171" s="24" t="n">
        <f aca="false">IF(($A170&lt;Inputs!$B$9*(1+3)),E170*(1-$E$116),E170)+IF($A170&lt;Inputs!$B$9*3,D170*$E$116,0)</f>
        <v>0.000425521797482546</v>
      </c>
      <c r="F171" s="24" t="n">
        <f aca="false">IF(($A170&lt;Inputs!$B$9*(1+4)),F170*(1-$E$116),F170)+IF($A170&lt;Inputs!$B$9*4,E170*$E$116,0)+IF(($A170&lt;Inputs!$B$9*(1+4)),F170*$E$116,0)</f>
        <v>5.07712455331338E-005</v>
      </c>
    </row>
    <row r="172" customFormat="false" ht="15" hidden="false" customHeight="false" outlineLevel="0" collapsed="false">
      <c r="A172" s="17" t="s">
        <v>119</v>
      </c>
      <c r="G172" s="42" t="n">
        <f aca="false">SUM(G121:G170)</f>
        <v>10.6373748403655</v>
      </c>
    </row>
    <row r="173" customFormat="false" ht="15" hidden="false" customHeight="false" outlineLevel="0" collapsed="false">
      <c r="A173" s="4" t="s">
        <v>226</v>
      </c>
      <c r="B173" s="24" t="n">
        <f aca="false">B171</f>
        <v>0.941666186265363</v>
      </c>
      <c r="C173" s="24" t="n">
        <f aca="false">C171</f>
        <v>0.0534572077212704</v>
      </c>
      <c r="D173" s="24" t="n">
        <f aca="false">D171</f>
        <v>0.00440031297035141</v>
      </c>
      <c r="E173" s="24" t="n">
        <f aca="false">E171</f>
        <v>0.000425521797482546</v>
      </c>
      <c r="F173" s="24" t="n">
        <f aca="false">F171</f>
        <v>5.07712455331338E-005</v>
      </c>
    </row>
    <row r="174" customFormat="false" ht="15" hidden="false" customHeight="false" outlineLevel="0" collapsed="false">
      <c r="A174" s="4" t="s">
        <v>227</v>
      </c>
      <c r="B174" s="44" t="n">
        <f aca="false">SUM(B171:F171)</f>
        <v>1</v>
      </c>
    </row>
    <row r="175" customFormat="false" ht="15" hidden="false" customHeight="false" outlineLevel="0" collapsed="false">
      <c r="A175" s="2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20"/>
    <col collapsed="false" customWidth="true" hidden="false" outlineLevel="0" max="4" min="4" style="0" width="58"/>
    <col collapsed="false" customWidth="true" hidden="false" outlineLevel="0" max="7" min="5" style="0" width="20"/>
  </cols>
  <sheetData>
    <row r="1" customFormat="false" ht="17.35" hidden="false" customHeight="false" outlineLevel="0" collapsed="false">
      <c r="A1" s="1" t="s">
        <v>239</v>
      </c>
    </row>
    <row r="3" customFormat="false" ht="15" hidden="false" customHeight="false" outlineLevel="0" collapsed="false">
      <c r="A3" s="3" t="s">
        <v>240</v>
      </c>
      <c r="B3" s="3" t="s">
        <v>241</v>
      </c>
      <c r="C3" s="3" t="s">
        <v>242</v>
      </c>
      <c r="D3" s="3" t="s">
        <v>136</v>
      </c>
      <c r="E3" s="3" t="s">
        <v>3</v>
      </c>
      <c r="F3" s="3" t="s">
        <v>4</v>
      </c>
      <c r="G3" s="3" t="s">
        <v>5</v>
      </c>
    </row>
    <row r="4" customFormat="false" ht="15" hidden="false" customHeight="false" outlineLevel="0" collapsed="false">
      <c r="A4" s="4" t="s">
        <v>243</v>
      </c>
      <c r="B4" s="45" t="n">
        <v>0.75</v>
      </c>
      <c r="C4" s="45" t="s">
        <v>244</v>
      </c>
      <c r="D4" s="4" t="s">
        <v>245</v>
      </c>
      <c r="E4" s="4" t="str">
        <f aca="false">IF(AND(PAR_96!P20&gt;=$B4,NOT(AND(ISNUMBER($C4),PAR_96!P20&gt;$C4))),"PASS ("&amp;TEXT(PAR_96!P20,"0.00%")&amp;")","FAIL")</f>
        <v>PASS (96.00%)</v>
      </c>
      <c r="F4" s="4" t="str">
        <f aca="false">IF(AND(PAR_94!P20&gt;=$B4,NOT(AND(ISNUMBER($C4),PAR_94!P20&gt;$C4))),"PASS ("&amp;TEXT(PAR_94!P20,"0.00%")&amp;")","FAIL")</f>
        <v>PASS (94.00%)</v>
      </c>
      <c r="G4" s="4" t="str">
        <f aca="false">IF(AND(PAR_92!P20&gt;=$B4,NOT(AND(ISNUMBER($C4),PAR_92!P20&gt;$C4))),"PASS ("&amp;TEXT(PAR_92!P20,"0.00%")&amp;")","FAIL")</f>
        <v>PASS (92.00%)</v>
      </c>
    </row>
    <row r="5" customFormat="false" ht="15" hidden="false" customHeight="false" outlineLevel="0" collapsed="false">
      <c r="A5" s="4" t="s">
        <v>246</v>
      </c>
      <c r="B5" s="45" t="n">
        <v>0.8</v>
      </c>
      <c r="C5" s="45" t="n">
        <v>1</v>
      </c>
      <c r="D5" s="4" t="s">
        <v>247</v>
      </c>
      <c r="E5" s="4" t="str">
        <f aca="false">IF(AND(PAR_96!P20&gt;=$B5,NOT(AND(ISNUMBER($C5),PAR_96!P20&gt;$C5))),"PASS ("&amp;TEXT(PAR_96!P20,"0.00%")&amp;")","FAIL")</f>
        <v>PASS (96.00%)</v>
      </c>
      <c r="F5" s="4" t="str">
        <f aca="false">IF(AND(PAR_94!P20&gt;=$B5,NOT(AND(ISNUMBER($C5),PAR_94!P20&gt;$C5))),"PASS ("&amp;TEXT(PAR_94!P20,"0.00%")&amp;")","FAIL")</f>
        <v>PASS (94.00%)</v>
      </c>
      <c r="G5" s="4" t="str">
        <f aca="false">IF(AND(PAR_92!P20&gt;=$B5,NOT(AND(ISNUMBER($C5),PAR_92!P20&gt;$C5))),"PASS ("&amp;TEXT(PAR_92!P20,"0.00%")&amp;")","FAIL")</f>
        <v>PASS (92.00%)</v>
      </c>
    </row>
    <row r="6" customFormat="false" ht="15" hidden="false" customHeight="false" outlineLevel="0" collapsed="false">
      <c r="A6" s="4" t="s">
        <v>248</v>
      </c>
      <c r="B6" s="45" t="n">
        <v>0.83</v>
      </c>
      <c r="C6" s="45" t="s">
        <v>244</v>
      </c>
      <c r="D6" s="4" t="s">
        <v>249</v>
      </c>
      <c r="E6" s="4" t="str">
        <f aca="false">IF(AND(PAR_96!P20&gt;=$B6,NOT(AND(ISNUMBER($C6),PAR_96!P20&gt;$C6))),"PASS ("&amp;TEXT(PAR_96!P20,"0.00%")&amp;")","FAIL")</f>
        <v>PASS (96.00%)</v>
      </c>
      <c r="F6" s="4" t="str">
        <f aca="false">IF(AND(PAR_94!P20&gt;=$B6,NOT(AND(ISNUMBER($C6),PAR_94!P20&gt;$C6))),"PASS ("&amp;TEXT(PAR_94!P20,"0.00%")&amp;")","FAIL")</f>
        <v>PASS (94.00%)</v>
      </c>
      <c r="G6" s="4" t="str">
        <f aca="false">IF(AND(PAR_92!P20&gt;=$B6,NOT(AND(ISNUMBER($C6),PAR_92!P20&gt;$C6))),"PASS ("&amp;TEXT(PAR_92!P20,"0.00%")&amp;")","FAIL")</f>
        <v>PASS (92.00%)</v>
      </c>
    </row>
    <row r="7" customFormat="false" ht="15" hidden="false" customHeight="false" outlineLevel="0" collapsed="false">
      <c r="A7" s="4" t="s">
        <v>250</v>
      </c>
      <c r="B7" s="45" t="n">
        <v>0.85</v>
      </c>
      <c r="C7" s="45" t="s">
        <v>244</v>
      </c>
      <c r="D7" s="4" t="s">
        <v>251</v>
      </c>
      <c r="E7" s="4" t="str">
        <f aca="false">IF(AND(PAR_96!P20&gt;=$B7,NOT(AND(ISNUMBER($C7),PAR_96!P20&gt;$C7))),"PASS ("&amp;TEXT(PAR_96!P20,"0.00%")&amp;")","FAIL")</f>
        <v>PASS (96.00%)</v>
      </c>
      <c r="F7" s="4" t="str">
        <f aca="false">IF(AND(PAR_94!P20&gt;=$B7,NOT(AND(ISNUMBER($C7),PAR_94!P20&gt;$C7))),"PASS ("&amp;TEXT(PAR_94!P20,"0.00%")&amp;")","FAIL")</f>
        <v>PASS (94.00%)</v>
      </c>
      <c r="G7" s="4" t="str">
        <f aca="false">IF(AND(PAR_92!P20&gt;=$B7,NOT(AND(ISNUMBER($C7),PAR_92!P20&gt;$C7))),"PASS ("&amp;TEXT(PAR_92!P20,"0.00%")&amp;")","FAIL")</f>
        <v>PASS (92.00%)</v>
      </c>
    </row>
    <row r="10" customFormat="false" ht="15" hidden="false" customHeight="false" outlineLevel="0" collapsed="false">
      <c r="A10" s="20" t="s">
        <v>252</v>
      </c>
      <c r="B10" s="21"/>
      <c r="C10" s="21"/>
      <c r="D10" s="21"/>
      <c r="E10" s="21"/>
      <c r="F10" s="21"/>
      <c r="G10" s="21"/>
    </row>
    <row r="11" customFormat="false" ht="15" hidden="false" customHeight="false" outlineLevel="0" collapsed="false">
      <c r="A11" s="3" t="s">
        <v>253</v>
      </c>
      <c r="B11" s="3" t="s">
        <v>254</v>
      </c>
      <c r="C11" s="3"/>
      <c r="D11" s="3" t="s">
        <v>255</v>
      </c>
      <c r="E11" s="3" t="s">
        <v>3</v>
      </c>
      <c r="F11" s="3" t="s">
        <v>4</v>
      </c>
      <c r="G11" s="3" t="s">
        <v>5</v>
      </c>
    </row>
    <row r="12" customFormat="false" ht="15" hidden="false" customHeight="false" outlineLevel="0" collapsed="false">
      <c r="A12" s="4" t="s">
        <v>256</v>
      </c>
      <c r="B12" s="46" t="n">
        <f aca="false">Inputs!$B$12</f>
        <v>5000</v>
      </c>
      <c r="D12" s="4" t="s">
        <v>257</v>
      </c>
      <c r="E12" s="4" t="str">
        <f aca="false">IF(762.2&lt;=$B12,"PASS (max seen "&amp;TEXT(762.2,"#,##0.0")&amp;"x)","FAIL")</f>
        <v>PASS (max seen 762.2x)</v>
      </c>
      <c r="F12" s="4" t="str">
        <f aca="false">IF(635.15&lt;=$B12,"PASS (max seen "&amp;TEXT(635.15,"#,##0.0")&amp;"x)","FAIL")</f>
        <v>PASS (max seen 635.2x)</v>
      </c>
      <c r="G12" s="4" t="str">
        <f aca="false">IF(709.7&lt;=$B12,"PASS (max seen "&amp;TEXT(709.7,"#,##0.0")&amp;"x)","FAIL")</f>
        <v>PASS (max seen 709.7x)</v>
      </c>
    </row>
    <row r="13" customFormat="false" ht="15" hidden="false" customHeight="false" outlineLevel="0" collapsed="false">
      <c r="A13" s="4" t="s">
        <v>258</v>
      </c>
      <c r="B13" s="41" t="n">
        <v>100000000</v>
      </c>
      <c r="D13" s="4" t="s">
        <v>259</v>
      </c>
      <c r="E13" s="4" t="str">
        <f aca="false">IF(1/MIN(PAR_96!$E$23:$E$53)&lt;=$B13,"PASS (1 in "&amp;TEXT(1/MIN(PAR_96!$E$23:$E$53),"#,##0")&amp;")","FAIL")</f>
        <v>PASS (1 in 470,400)</v>
      </c>
      <c r="F13" s="4" t="str">
        <f aca="false">IF(1/MIN(PAR_94!$E$23:$E$53)&lt;=$B13,"PASS (1 in "&amp;TEXT(1/MIN(PAR_94!$E$23:$E$53),"#,##0")&amp;")","FAIL")</f>
        <v>PASS (1 in 459,200)</v>
      </c>
      <c r="G13" s="4" t="str">
        <f aca="false">IF(1/MIN(PAR_92!$E$23:$E$53)&lt;=$B13,"PASS (1 in "&amp;TEXT(1/MIN(PAR_92!$E$23:$E$53),"#,##0")&amp;")","FAIL")</f>
        <v>PASS (1 in 459,200)</v>
      </c>
    </row>
    <row r="14" customFormat="false" ht="15" hidden="false" customHeight="false" outlineLevel="0" collapsed="false">
      <c r="A14" s="4" t="s">
        <v>260</v>
      </c>
      <c r="D14" s="4" t="s">
        <v>261</v>
      </c>
      <c r="E14" s="4" t="str">
        <f aca="false">IF(PAR_96!$E$103&gt;0,"PASS","FAIL")</f>
        <v>PASS</v>
      </c>
      <c r="F14" s="4" t="str">
        <f aca="false">IF(PAR_94!$E$103&gt;0,"PASS","FAIL")</f>
        <v>PASS</v>
      </c>
      <c r="G14" s="4" t="str">
        <f aca="false">IF(PAR_92!$E$103&gt;0,"PASS","FAIL")</f>
        <v>PASS</v>
      </c>
    </row>
    <row r="15" customFormat="false" ht="15" hidden="false" customHeight="false" outlineLevel="0" collapsed="false">
      <c r="A15" s="4" t="s">
        <v>262</v>
      </c>
      <c r="D15" s="4" t="s">
        <v>263</v>
      </c>
      <c r="E15" s="31" t="n">
        <v>1.20615560265325E-045</v>
      </c>
      <c r="F15" s="31" t="n">
        <v>1.22520658925444E-045</v>
      </c>
      <c r="G15" s="31" t="n">
        <v>1.21977072736367E-045</v>
      </c>
    </row>
    <row r="18" customFormat="false" ht="15" hidden="false" customHeight="false" outlineLevel="0" collapsed="false">
      <c r="A18" s="20" t="s">
        <v>264</v>
      </c>
      <c r="B18" s="21"/>
      <c r="C18" s="21"/>
      <c r="D18" s="21"/>
      <c r="E18" s="21"/>
      <c r="F18" s="21"/>
      <c r="G18" s="21"/>
    </row>
    <row r="19" customFormat="false" ht="15" hidden="false" customHeight="false" outlineLevel="0" collapsed="false">
      <c r="A19" s="3" t="s">
        <v>265</v>
      </c>
      <c r="B19" s="3" t="s">
        <v>266</v>
      </c>
      <c r="C19" s="3" t="s">
        <v>267</v>
      </c>
      <c r="D19" s="3" t="s">
        <v>268</v>
      </c>
      <c r="E19" s="3" t="s">
        <v>269</v>
      </c>
      <c r="F19" s="3" t="s">
        <v>270</v>
      </c>
    </row>
    <row r="20" customFormat="false" ht="15" hidden="false" customHeight="false" outlineLevel="0" collapsed="false">
      <c r="A20" s="4" t="s">
        <v>271</v>
      </c>
      <c r="B20" s="4" t="s">
        <v>272</v>
      </c>
      <c r="C20" s="11" t="n">
        <v>20.40841088</v>
      </c>
      <c r="D20" s="13" t="n">
        <v>39</v>
      </c>
      <c r="E20" s="38" t="n">
        <v>0.993836066264085</v>
      </c>
      <c r="F20" s="4" t="str">
        <f aca="false">IF(E20&gt;=0.01,"PASS","FAIL")</f>
        <v>PASS</v>
      </c>
    </row>
    <row r="21" customFormat="false" ht="15" hidden="false" customHeight="false" outlineLevel="0" collapsed="false">
      <c r="A21" s="4" t="s">
        <v>273</v>
      </c>
      <c r="B21" s="4" t="s">
        <v>272</v>
      </c>
      <c r="C21" s="11" t="n">
        <v>27.6114261361576</v>
      </c>
      <c r="D21" s="13" t="n">
        <v>33</v>
      </c>
      <c r="E21" s="38" t="n">
        <v>0.732347736996574</v>
      </c>
      <c r="F21" s="4" t="str">
        <f aca="false">IF(E21&gt;=0.01,"PASS","FAIL")</f>
        <v>PASS</v>
      </c>
    </row>
    <row r="22" customFormat="false" ht="15" hidden="false" customHeight="false" outlineLevel="0" collapsed="false">
      <c r="A22" s="4" t="s">
        <v>274</v>
      </c>
      <c r="B22" s="4" t="s">
        <v>272</v>
      </c>
      <c r="C22" s="11" t="n">
        <v>48.805128608</v>
      </c>
      <c r="D22" s="13" t="n">
        <v>41</v>
      </c>
      <c r="E22" s="38" t="n">
        <v>0.188020364664321</v>
      </c>
      <c r="F22" s="4" t="str">
        <f aca="false">IF(E22&gt;=0.01,"PASS","FAIL")</f>
        <v>PASS</v>
      </c>
    </row>
    <row r="23" customFormat="false" ht="15" hidden="false" customHeight="false" outlineLevel="0" collapsed="false">
      <c r="A23" s="4" t="s">
        <v>275</v>
      </c>
      <c r="B23" s="4" t="s">
        <v>272</v>
      </c>
      <c r="C23" s="11" t="n">
        <v>22.227464908781</v>
      </c>
      <c r="D23" s="13" t="n">
        <v>33</v>
      </c>
      <c r="E23" s="38" t="n">
        <v>0.922407565491066</v>
      </c>
      <c r="F23" s="4" t="str">
        <f aca="false">IF(E23&gt;=0.01,"PASS","FAIL")</f>
        <v>PASS</v>
      </c>
    </row>
    <row r="24" customFormat="false" ht="15" hidden="false" customHeight="false" outlineLevel="0" collapsed="false">
      <c r="A24" s="4" t="s">
        <v>276</v>
      </c>
      <c r="B24" s="4" t="s">
        <v>272</v>
      </c>
      <c r="C24" s="11" t="n">
        <v>57.648630128</v>
      </c>
      <c r="D24" s="13" t="n">
        <v>41</v>
      </c>
      <c r="E24" s="38" t="n">
        <v>0.0438777683775213</v>
      </c>
      <c r="F24" s="4" t="str">
        <f aca="false">IF(E24&gt;=0.01,"PASS","FAIL")</f>
        <v>PASS</v>
      </c>
    </row>
    <row r="25" customFormat="false" ht="15" hidden="false" customHeight="false" outlineLevel="0" collapsed="false">
      <c r="A25" s="4" t="s">
        <v>277</v>
      </c>
      <c r="B25" s="4" t="s">
        <v>272</v>
      </c>
      <c r="C25" s="11" t="n">
        <v>46.9917775923978</v>
      </c>
      <c r="D25" s="13" t="n">
        <v>33</v>
      </c>
      <c r="E25" s="38" t="n">
        <v>0.0542241645615368</v>
      </c>
      <c r="F25" s="4" t="str">
        <f aca="false">IF(E25&gt;=0.01,"PASS","FAIL")</f>
        <v>PASS</v>
      </c>
    </row>
    <row r="26" customFormat="false" ht="15" hidden="false" customHeight="false" outlineLevel="0" collapsed="false">
      <c r="A26" s="4" t="s">
        <v>278</v>
      </c>
      <c r="B26" s="4" t="s">
        <v>272</v>
      </c>
      <c r="C26" s="11" t="n">
        <v>31.090976768</v>
      </c>
      <c r="D26" s="13" t="n">
        <v>41</v>
      </c>
      <c r="E26" s="38" t="n">
        <v>0.869092945765846</v>
      </c>
      <c r="F26" s="4" t="str">
        <f aca="false">IF(E26&gt;=0.01,"PASS","FAIL")</f>
        <v>PASS</v>
      </c>
    </row>
    <row r="27" customFormat="false" ht="15" hidden="false" customHeight="false" outlineLevel="0" collapsed="false">
      <c r="A27" s="4" t="s">
        <v>279</v>
      </c>
      <c r="B27" s="4" t="s">
        <v>272</v>
      </c>
      <c r="C27" s="11" t="n">
        <v>40.8797840121867</v>
      </c>
      <c r="D27" s="13" t="n">
        <v>33</v>
      </c>
      <c r="E27" s="38" t="n">
        <v>0.162893017805267</v>
      </c>
      <c r="F27" s="4" t="str">
        <f aca="false">IF(E27&gt;=0.01,"PASS","FAIL")</f>
        <v>PASS</v>
      </c>
    </row>
    <row r="28" customFormat="false" ht="15" hidden="false" customHeight="false" outlineLevel="0" collapsed="false">
      <c r="A28" s="4" t="s">
        <v>280</v>
      </c>
      <c r="B28" s="4" t="s">
        <v>272</v>
      </c>
      <c r="C28" s="11" t="n">
        <v>30.2608944</v>
      </c>
      <c r="D28" s="13" t="n">
        <v>39</v>
      </c>
      <c r="E28" s="38" t="n">
        <v>0.840814746418745</v>
      </c>
      <c r="F28" s="4" t="str">
        <f aca="false">IF(E28&gt;=0.01,"PASS","FAIL")</f>
        <v>PASS</v>
      </c>
    </row>
    <row r="29" customFormat="false" ht="15" hidden="false" customHeight="false" outlineLevel="0" collapsed="false">
      <c r="A29" s="4" t="s">
        <v>281</v>
      </c>
      <c r="B29" s="4" t="s">
        <v>272</v>
      </c>
      <c r="C29" s="11" t="n">
        <v>24.4192662580247</v>
      </c>
      <c r="D29" s="13" t="n">
        <v>33</v>
      </c>
      <c r="E29" s="38" t="n">
        <v>0.860080749779196</v>
      </c>
      <c r="F29" s="4" t="str">
        <f aca="false">IF(E29&gt;=0.01,"PASS","FAIL")</f>
        <v>PASS</v>
      </c>
    </row>
    <row r="30" customFormat="false" ht="15" hidden="false" customHeight="false" outlineLevel="0" collapsed="false">
      <c r="A30" s="4" t="s">
        <v>282</v>
      </c>
      <c r="B30" s="4" t="s">
        <v>272</v>
      </c>
      <c r="C30" s="11" t="n">
        <v>1698.41656</v>
      </c>
      <c r="D30" s="13" t="n">
        <v>1679</v>
      </c>
      <c r="E30" s="38" t="n">
        <v>0.36494267232433</v>
      </c>
      <c r="F30" s="4" t="str">
        <f aca="false">IF(E30&gt;=0.01,"PASS","FAIL")</f>
        <v>PASS</v>
      </c>
    </row>
    <row r="31" customFormat="false" ht="15" hidden="false" customHeight="false" outlineLevel="0" collapsed="false">
      <c r="A31" s="4" t="s">
        <v>283</v>
      </c>
      <c r="B31" s="4" t="s">
        <v>272</v>
      </c>
      <c r="C31" s="11" t="n">
        <v>1565.80717790359</v>
      </c>
      <c r="D31" s="13" t="n">
        <v>1599</v>
      </c>
      <c r="E31" s="38" t="n">
        <v>0.718792062504808</v>
      </c>
      <c r="F31" s="4" t="str">
        <f aca="false">IF(E31&gt;=0.01,"PASS","FAIL")</f>
        <v>PASS</v>
      </c>
    </row>
    <row r="32" customFormat="false" ht="15" hidden="false" customHeight="false" outlineLevel="0" collapsed="false">
      <c r="A32" s="4" t="s">
        <v>284</v>
      </c>
      <c r="B32" s="4" t="s">
        <v>272</v>
      </c>
      <c r="C32" s="11" t="n">
        <v>7.44449819879895</v>
      </c>
      <c r="D32" s="13" t="n">
        <v>5</v>
      </c>
      <c r="E32" s="38" t="n">
        <v>0.189624827185562</v>
      </c>
      <c r="F32" s="4" t="str">
        <f aca="false">IF(E32&gt;=0.01,"PASS","FAIL")</f>
        <v>PASS</v>
      </c>
    </row>
    <row r="33" customFormat="false" ht="15" hidden="false" customHeight="false" outlineLevel="0" collapsed="false">
      <c r="A33" s="4" t="s">
        <v>285</v>
      </c>
      <c r="B33" s="4" t="s">
        <v>272</v>
      </c>
      <c r="C33" s="11" t="n">
        <v>4.86379876934143</v>
      </c>
      <c r="D33" s="13" t="n">
        <v>10</v>
      </c>
      <c r="E33" s="38" t="n">
        <v>0.900088590758866</v>
      </c>
      <c r="F33" s="4" t="str">
        <f aca="false">IF(E33&gt;=0.01,"PASS","FAIL")</f>
        <v>PASS</v>
      </c>
    </row>
    <row r="34" customFormat="false" ht="15" hidden="false" customHeight="false" outlineLevel="0" collapsed="false">
      <c r="A34" s="4" t="s">
        <v>271</v>
      </c>
      <c r="B34" s="4" t="s">
        <v>286</v>
      </c>
      <c r="C34" s="11" t="n">
        <v>57.5426608</v>
      </c>
      <c r="D34" s="13" t="n">
        <v>39</v>
      </c>
      <c r="E34" s="38" t="n">
        <v>0.0280959584225963</v>
      </c>
      <c r="F34" s="4" t="str">
        <f aca="false">IF(E34&gt;=0.01,"PASS","FAIL")</f>
        <v>PASS</v>
      </c>
    </row>
    <row r="35" customFormat="false" ht="15" hidden="false" customHeight="false" outlineLevel="0" collapsed="false">
      <c r="A35" s="4" t="s">
        <v>273</v>
      </c>
      <c r="B35" s="4" t="s">
        <v>286</v>
      </c>
      <c r="C35" s="11" t="n">
        <v>34.213962452199</v>
      </c>
      <c r="D35" s="13" t="n">
        <v>33</v>
      </c>
      <c r="E35" s="38" t="n">
        <v>0.409215035299646</v>
      </c>
      <c r="F35" s="4" t="str">
        <f aca="false">IF(E35&gt;=0.01,"PASS","FAIL")</f>
        <v>PASS</v>
      </c>
    </row>
    <row r="36" customFormat="false" ht="15" hidden="false" customHeight="false" outlineLevel="0" collapsed="false">
      <c r="A36" s="4" t="s">
        <v>274</v>
      </c>
      <c r="B36" s="4" t="s">
        <v>286</v>
      </c>
      <c r="C36" s="11" t="n">
        <v>38.805152384</v>
      </c>
      <c r="D36" s="13" t="n">
        <v>41</v>
      </c>
      <c r="E36" s="38" t="n">
        <v>0.56859889315574</v>
      </c>
      <c r="F36" s="4" t="str">
        <f aca="false">IF(E36&gt;=0.01,"PASS","FAIL")</f>
        <v>PASS</v>
      </c>
    </row>
    <row r="37" customFormat="false" ht="15" hidden="false" customHeight="false" outlineLevel="0" collapsed="false">
      <c r="A37" s="4" t="s">
        <v>275</v>
      </c>
      <c r="B37" s="4" t="s">
        <v>286</v>
      </c>
      <c r="C37" s="11" t="n">
        <v>33.9458905859007</v>
      </c>
      <c r="D37" s="13" t="n">
        <v>33</v>
      </c>
      <c r="E37" s="38" t="n">
        <v>0.421788108286228</v>
      </c>
      <c r="F37" s="4" t="str">
        <f aca="false">IF(E37&gt;=0.01,"PASS","FAIL")</f>
        <v>PASS</v>
      </c>
    </row>
    <row r="38" customFormat="false" ht="15" hidden="false" customHeight="false" outlineLevel="0" collapsed="false">
      <c r="A38" s="4" t="s">
        <v>276</v>
      </c>
      <c r="B38" s="4" t="s">
        <v>286</v>
      </c>
      <c r="C38" s="11" t="n">
        <v>32.767765952</v>
      </c>
      <c r="D38" s="13" t="n">
        <v>41</v>
      </c>
      <c r="E38" s="38" t="n">
        <v>0.816798426193743</v>
      </c>
      <c r="F38" s="4" t="str">
        <f aca="false">IF(E38&gt;=0.01,"PASS","FAIL")</f>
        <v>PASS</v>
      </c>
    </row>
    <row r="39" customFormat="false" ht="15" hidden="false" customHeight="false" outlineLevel="0" collapsed="false">
      <c r="A39" s="4" t="s">
        <v>277</v>
      </c>
      <c r="B39" s="4" t="s">
        <v>286</v>
      </c>
      <c r="C39" s="11" t="n">
        <v>37.5027238320119</v>
      </c>
      <c r="D39" s="13" t="n">
        <v>33</v>
      </c>
      <c r="E39" s="38" t="n">
        <v>0.27021600254375</v>
      </c>
      <c r="F39" s="4" t="str">
        <f aca="false">IF(E39&gt;=0.01,"PASS","FAIL")</f>
        <v>PASS</v>
      </c>
    </row>
    <row r="40" customFormat="false" ht="15" hidden="false" customHeight="false" outlineLevel="0" collapsed="false">
      <c r="A40" s="4" t="s">
        <v>278</v>
      </c>
      <c r="B40" s="4" t="s">
        <v>286</v>
      </c>
      <c r="C40" s="11" t="n">
        <v>27.050936536</v>
      </c>
      <c r="D40" s="13" t="n">
        <v>40</v>
      </c>
      <c r="E40" s="38" t="n">
        <v>0.941264016522788</v>
      </c>
      <c r="F40" s="4" t="str">
        <f aca="false">IF(E40&gt;=0.01,"PASS","FAIL")</f>
        <v>PASS</v>
      </c>
    </row>
    <row r="41" customFormat="false" ht="15" hidden="false" customHeight="false" outlineLevel="0" collapsed="false">
      <c r="A41" s="4" t="s">
        <v>279</v>
      </c>
      <c r="B41" s="4" t="s">
        <v>286</v>
      </c>
      <c r="C41" s="11" t="n">
        <v>41.1694171713942</v>
      </c>
      <c r="D41" s="13" t="n">
        <v>33</v>
      </c>
      <c r="E41" s="38" t="n">
        <v>0.155419869909094</v>
      </c>
      <c r="F41" s="4" t="str">
        <f aca="false">IF(E41&gt;=0.01,"PASS","FAIL")</f>
        <v>PASS</v>
      </c>
    </row>
    <row r="42" customFormat="false" ht="15" hidden="false" customHeight="false" outlineLevel="0" collapsed="false">
      <c r="A42" s="4" t="s">
        <v>280</v>
      </c>
      <c r="B42" s="4" t="s">
        <v>286</v>
      </c>
      <c r="C42" s="11" t="n">
        <v>42.05655104</v>
      </c>
      <c r="D42" s="13" t="n">
        <v>39</v>
      </c>
      <c r="E42" s="38" t="n">
        <v>0.33997388815658</v>
      </c>
      <c r="F42" s="4" t="str">
        <f aca="false">IF(E42&gt;=0.01,"PASS","FAIL")</f>
        <v>PASS</v>
      </c>
    </row>
    <row r="43" customFormat="false" ht="15" hidden="false" customHeight="false" outlineLevel="0" collapsed="false">
      <c r="A43" s="4" t="s">
        <v>281</v>
      </c>
      <c r="B43" s="4" t="s">
        <v>286</v>
      </c>
      <c r="C43" s="11" t="n">
        <v>27.761387671847</v>
      </c>
      <c r="D43" s="13" t="n">
        <v>33</v>
      </c>
      <c r="E43" s="38" t="n">
        <v>0.725478376008546</v>
      </c>
      <c r="F43" s="4" t="str">
        <f aca="false">IF(E43&gt;=0.01,"PASS","FAIL")</f>
        <v>PASS</v>
      </c>
    </row>
    <row r="44" customFormat="false" ht="15" hidden="false" customHeight="false" outlineLevel="0" collapsed="false">
      <c r="A44" s="4" t="s">
        <v>282</v>
      </c>
      <c r="B44" s="4" t="s">
        <v>286</v>
      </c>
      <c r="C44" s="11" t="n">
        <v>1735.276264</v>
      </c>
      <c r="D44" s="13" t="n">
        <v>1679</v>
      </c>
      <c r="E44" s="38" t="n">
        <v>0.165530989846914</v>
      </c>
      <c r="F44" s="4" t="str">
        <f aca="false">IF(E44&gt;=0.01,"PASS","FAIL")</f>
        <v>PASS</v>
      </c>
    </row>
    <row r="45" customFormat="false" ht="15" hidden="false" customHeight="false" outlineLevel="0" collapsed="false">
      <c r="A45" s="4" t="s">
        <v>283</v>
      </c>
      <c r="B45" s="4" t="s">
        <v>286</v>
      </c>
      <c r="C45" s="11" t="n">
        <v>1575.14142257071</v>
      </c>
      <c r="D45" s="13" t="n">
        <v>1599</v>
      </c>
      <c r="E45" s="38" t="n">
        <v>0.659906824273426</v>
      </c>
      <c r="F45" s="4" t="str">
        <f aca="false">IF(E45&gt;=0.01,"PASS","FAIL")</f>
        <v>PASS</v>
      </c>
    </row>
    <row r="46" customFormat="false" ht="15" hidden="false" customHeight="false" outlineLevel="0" collapsed="false">
      <c r="A46" s="4" t="s">
        <v>284</v>
      </c>
      <c r="B46" s="4" t="s">
        <v>286</v>
      </c>
      <c r="C46" s="11" t="n">
        <v>7.65540127654724</v>
      </c>
      <c r="D46" s="13" t="n">
        <v>5</v>
      </c>
      <c r="E46" s="38" t="n">
        <v>0.176277664481612</v>
      </c>
      <c r="F46" s="4" t="str">
        <f aca="false">IF(E46&gt;=0.01,"PASS","FAIL")</f>
        <v>PASS</v>
      </c>
    </row>
    <row r="47" customFormat="false" ht="15" hidden="false" customHeight="false" outlineLevel="0" collapsed="false">
      <c r="A47" s="4" t="s">
        <v>285</v>
      </c>
      <c r="B47" s="4" t="s">
        <v>286</v>
      </c>
      <c r="C47" s="11" t="n">
        <v>10.4865457457716</v>
      </c>
      <c r="D47" s="13" t="n">
        <v>10</v>
      </c>
      <c r="E47" s="38" t="n">
        <v>0.398891977537523</v>
      </c>
      <c r="F47" s="4" t="str">
        <f aca="false">IF(E47&gt;=0.01,"PASS","FAIL")</f>
        <v>PASS</v>
      </c>
    </row>
    <row r="48" customFormat="false" ht="15" hidden="false" customHeight="false" outlineLevel="0" collapsed="false">
      <c r="A48" s="4" t="s">
        <v>271</v>
      </c>
      <c r="B48" s="4" t="s">
        <v>287</v>
      </c>
      <c r="C48" s="11" t="n">
        <v>28.39613728</v>
      </c>
      <c r="D48" s="13" t="n">
        <v>39</v>
      </c>
      <c r="E48" s="38" t="n">
        <v>0.894972398188808</v>
      </c>
      <c r="F48" s="4" t="str">
        <f aca="false">IF(E48&gt;=0.01,"PASS","FAIL")</f>
        <v>PASS</v>
      </c>
    </row>
    <row r="49" customFormat="false" ht="15" hidden="false" customHeight="false" outlineLevel="0" collapsed="false">
      <c r="A49" s="4" t="s">
        <v>273</v>
      </c>
      <c r="B49" s="4" t="s">
        <v>287</v>
      </c>
      <c r="C49" s="11" t="n">
        <v>29.4472446301919</v>
      </c>
      <c r="D49" s="13" t="n">
        <v>33</v>
      </c>
      <c r="E49" s="38" t="n">
        <v>0.644733247298105</v>
      </c>
      <c r="F49" s="4" t="str">
        <f aca="false">IF(E49&gt;=0.01,"PASS","FAIL")</f>
        <v>PASS</v>
      </c>
    </row>
    <row r="50" customFormat="false" ht="15" hidden="false" customHeight="false" outlineLevel="0" collapsed="false">
      <c r="A50" s="4" t="s">
        <v>274</v>
      </c>
      <c r="B50" s="4" t="s">
        <v>287</v>
      </c>
      <c r="C50" s="11" t="n">
        <v>51.467900048</v>
      </c>
      <c r="D50" s="13" t="n">
        <v>41</v>
      </c>
      <c r="E50" s="38" t="n">
        <v>0.126657489704123</v>
      </c>
      <c r="F50" s="4" t="str">
        <f aca="false">IF(E50&gt;=0.01,"PASS","FAIL")</f>
        <v>PASS</v>
      </c>
    </row>
    <row r="51" customFormat="false" ht="15" hidden="false" customHeight="false" outlineLevel="0" collapsed="false">
      <c r="A51" s="4" t="s">
        <v>275</v>
      </c>
      <c r="B51" s="4" t="s">
        <v>287</v>
      </c>
      <c r="C51" s="11" t="n">
        <v>23.6420108236507</v>
      </c>
      <c r="D51" s="13" t="n">
        <v>33</v>
      </c>
      <c r="E51" s="38" t="n">
        <v>0.884741911847541</v>
      </c>
      <c r="F51" s="4" t="str">
        <f aca="false">IF(E51&gt;=0.01,"PASS","FAIL")</f>
        <v>PASS</v>
      </c>
    </row>
    <row r="52" customFormat="false" ht="15" hidden="false" customHeight="false" outlineLevel="0" collapsed="false">
      <c r="A52" s="4" t="s">
        <v>276</v>
      </c>
      <c r="B52" s="4" t="s">
        <v>287</v>
      </c>
      <c r="C52" s="11" t="n">
        <v>32.963056832</v>
      </c>
      <c r="D52" s="13" t="n">
        <v>40</v>
      </c>
      <c r="E52" s="38" t="n">
        <v>0.777125276908101</v>
      </c>
      <c r="F52" s="4" t="str">
        <f aca="false">IF(E52&gt;=0.01,"PASS","FAIL")</f>
        <v>PASS</v>
      </c>
    </row>
    <row r="53" customFormat="false" ht="15" hidden="false" customHeight="false" outlineLevel="0" collapsed="false">
      <c r="A53" s="4" t="s">
        <v>277</v>
      </c>
      <c r="B53" s="4" t="s">
        <v>287</v>
      </c>
      <c r="C53" s="11" t="n">
        <v>21.3549238646932</v>
      </c>
      <c r="D53" s="13" t="n">
        <v>33</v>
      </c>
      <c r="E53" s="38" t="n">
        <v>0.94103903782163</v>
      </c>
      <c r="F53" s="4" t="str">
        <f aca="false">IF(E53&gt;=0.01,"PASS","FAIL")</f>
        <v>PASS</v>
      </c>
    </row>
    <row r="54" customFormat="false" ht="15" hidden="false" customHeight="false" outlineLevel="0" collapsed="false">
      <c r="A54" s="4" t="s">
        <v>278</v>
      </c>
      <c r="B54" s="4" t="s">
        <v>287</v>
      </c>
      <c r="C54" s="11" t="n">
        <v>48.591655376</v>
      </c>
      <c r="D54" s="13" t="n">
        <v>41</v>
      </c>
      <c r="E54" s="38" t="n">
        <v>0.193737098887243</v>
      </c>
      <c r="F54" s="4" t="str">
        <f aca="false">IF(E54&gt;=0.01,"PASS","FAIL")</f>
        <v>PASS</v>
      </c>
    </row>
    <row r="55" customFormat="false" ht="15" hidden="false" customHeight="false" outlineLevel="0" collapsed="false">
      <c r="A55" s="4" t="s">
        <v>279</v>
      </c>
      <c r="B55" s="4" t="s">
        <v>287</v>
      </c>
      <c r="C55" s="11" t="n">
        <v>47.1089983305135</v>
      </c>
      <c r="D55" s="13" t="n">
        <v>33</v>
      </c>
      <c r="E55" s="38" t="n">
        <v>0.0529804646802618</v>
      </c>
      <c r="F55" s="4" t="str">
        <f aca="false">IF(E55&gt;=0.01,"PASS","FAIL")</f>
        <v>PASS</v>
      </c>
    </row>
    <row r="56" customFormat="false" ht="15" hidden="false" customHeight="false" outlineLevel="0" collapsed="false">
      <c r="A56" s="4" t="s">
        <v>280</v>
      </c>
      <c r="B56" s="4" t="s">
        <v>287</v>
      </c>
      <c r="C56" s="11" t="n">
        <v>56.98090912</v>
      </c>
      <c r="D56" s="13" t="n">
        <v>39</v>
      </c>
      <c r="E56" s="38" t="n">
        <v>0.0314302740374051</v>
      </c>
      <c r="F56" s="4" t="str">
        <f aca="false">IF(E56&gt;=0.01,"PASS","FAIL")</f>
        <v>PASS</v>
      </c>
    </row>
    <row r="57" customFormat="false" ht="15" hidden="false" customHeight="false" outlineLevel="0" collapsed="false">
      <c r="A57" s="4" t="s">
        <v>281</v>
      </c>
      <c r="B57" s="4" t="s">
        <v>287</v>
      </c>
      <c r="C57" s="11" t="n">
        <v>33.2594869634394</v>
      </c>
      <c r="D57" s="13" t="n">
        <v>33</v>
      </c>
      <c r="E57" s="38" t="n">
        <v>0.454626317396524</v>
      </c>
      <c r="F57" s="4" t="str">
        <f aca="false">IF(E57&gt;=0.01,"PASS","FAIL")</f>
        <v>PASS</v>
      </c>
    </row>
    <row r="58" customFormat="false" ht="15" hidden="false" customHeight="false" outlineLevel="0" collapsed="false">
      <c r="A58" s="4" t="s">
        <v>282</v>
      </c>
      <c r="B58" s="4" t="s">
        <v>287</v>
      </c>
      <c r="C58" s="11" t="n">
        <v>1595.581408</v>
      </c>
      <c r="D58" s="13" t="n">
        <v>1679</v>
      </c>
      <c r="E58" s="38" t="n">
        <v>0.926824082004577</v>
      </c>
      <c r="F58" s="4" t="str">
        <f aca="false">IF(E58&gt;=0.01,"PASS","FAIL")</f>
        <v>PASS</v>
      </c>
    </row>
    <row r="59" customFormat="false" ht="15" hidden="false" customHeight="false" outlineLevel="0" collapsed="false">
      <c r="A59" s="4" t="s">
        <v>283</v>
      </c>
      <c r="B59" s="4" t="s">
        <v>287</v>
      </c>
      <c r="C59" s="11" t="n">
        <v>1541.09724554862</v>
      </c>
      <c r="D59" s="13" t="n">
        <v>1599</v>
      </c>
      <c r="E59" s="38" t="n">
        <v>0.847249424715935</v>
      </c>
      <c r="F59" s="4" t="str">
        <f aca="false">IF(E59&gt;=0.01,"PASS","FAIL")</f>
        <v>PASS</v>
      </c>
    </row>
    <row r="60" customFormat="false" ht="15" hidden="false" customHeight="false" outlineLevel="0" collapsed="false">
      <c r="A60" s="4" t="s">
        <v>284</v>
      </c>
      <c r="B60" s="4" t="s">
        <v>287</v>
      </c>
      <c r="C60" s="11" t="n">
        <v>1.78140979373527</v>
      </c>
      <c r="D60" s="13" t="n">
        <v>5</v>
      </c>
      <c r="E60" s="38" t="n">
        <v>0.878488093008203</v>
      </c>
      <c r="F60" s="4" t="str">
        <f aca="false">IF(E60&gt;=0.01,"PASS","FAIL")</f>
        <v>PASS</v>
      </c>
    </row>
    <row r="61" customFormat="false" ht="15" hidden="false" customHeight="false" outlineLevel="0" collapsed="false">
      <c r="A61" s="4" t="s">
        <v>285</v>
      </c>
      <c r="B61" s="4" t="s">
        <v>287</v>
      </c>
      <c r="C61" s="11" t="n">
        <v>6.9628648693556</v>
      </c>
      <c r="D61" s="13" t="n">
        <v>10</v>
      </c>
      <c r="E61" s="38" t="n">
        <v>0.728946026478993</v>
      </c>
      <c r="F61" s="4" t="str">
        <f aca="false">IF(E61&gt;=0.01,"PASS","FAIL")</f>
        <v>PASS</v>
      </c>
    </row>
    <row r="62" customFormat="false" ht="15" hidden="false" customHeight="false" outlineLevel="0" collapsed="false">
      <c r="A62" s="4" t="s">
        <v>288</v>
      </c>
      <c r="B62" s="4" t="s">
        <v>289</v>
      </c>
      <c r="C62" s="11" t="n">
        <v>227.436738967896</v>
      </c>
      <c r="D62" s="13" t="n">
        <v>255</v>
      </c>
      <c r="E62" s="38" t="n">
        <v>0.892085678710527</v>
      </c>
      <c r="F62" s="4" t="str">
        <f aca="false">IF(E62&gt;=0.01,"PASS","FAIL")</f>
        <v>PASS</v>
      </c>
    </row>
    <row r="63" customFormat="false" ht="15" hidden="false" customHeight="false" outlineLevel="0" collapsed="false">
      <c r="A63" s="4" t="s">
        <v>290</v>
      </c>
      <c r="B63" s="4" t="s">
        <v>289</v>
      </c>
      <c r="C63" s="47" t="n">
        <v>-0.539911244668195</v>
      </c>
      <c r="D63" s="4" t="s">
        <v>291</v>
      </c>
      <c r="E63" s="38" t="n">
        <v>0.589258242770405</v>
      </c>
      <c r="F63" s="4" t="str">
        <f aca="false">IF(E63&gt;=0.01,"PASS","FAIL")</f>
        <v>PASS</v>
      </c>
    </row>
    <row r="64" customFormat="false" ht="15" hidden="false" customHeight="false" outlineLevel="0" collapsed="false">
      <c r="A64" s="4" t="s">
        <v>292</v>
      </c>
      <c r="B64" s="4" t="s">
        <v>289</v>
      </c>
      <c r="C64" s="11" t="n">
        <v>271.7752399995</v>
      </c>
      <c r="D64" s="13" t="n">
        <v>255</v>
      </c>
      <c r="E64" s="38" t="n">
        <v>0.224675737984765</v>
      </c>
      <c r="F64" s="4" t="str">
        <f aca="false">IF(E64&gt;=0.01,"PASS","FAIL")</f>
        <v>PASS</v>
      </c>
    </row>
    <row r="66" customFormat="false" ht="15" hidden="false" customHeight="false" outlineLevel="0" collapsed="false">
      <c r="A66" s="48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2026-10-21T21:36:42Z</dcterms:created>
  <dc:creator>openpyxl</dc:creator>
  <dc:description/>
  <dc:language>en-US</dc:language>
  <cp:lastModifiedBy/>
  <dcterms:modified xsi:type="dcterms:W3CDTF">2026-10-21T21:36:42Z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